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MUESTREO DE SUELOS\SuertesAnalisis\.EJEMPLO\Dosificacion\"/>
    </mc:Choice>
  </mc:AlternateContent>
  <xr:revisionPtr revIDLastSave="0" documentId="13_ncr:1_{7FCA410F-222A-4886-B0E2-CF169DA612BD}" xr6:coauthVersionLast="47" xr6:coauthVersionMax="47" xr10:uidLastSave="{00000000-0000-0000-0000-000000000000}"/>
  <bookViews>
    <workbookView xWindow="-120" yWindow="-120" windowWidth="20730" windowHeight="11310" tabRatio="777" xr2:uid="{00000000-000D-0000-FFFF-FFFF00000000}"/>
  </bookViews>
  <sheets>
    <sheet name="Informacion STE" sheetId="4" r:id="rId1"/>
    <sheet name="Resultado Analisis suelos " sheetId="3" r:id="rId2"/>
    <sheet name="Determinacion de Dosis" sheetId="1" r:id="rId3"/>
    <sheet name="Parametros de referenci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T6" i="1"/>
  <c r="U5" i="1"/>
  <c r="T5" i="1"/>
  <c r="U4" i="1"/>
  <c r="T4" i="1"/>
  <c r="S6" i="1" l="1"/>
  <c r="D13" i="4"/>
  <c r="D12" i="4"/>
  <c r="A30" i="1"/>
  <c r="A25" i="1"/>
  <c r="A19" i="1"/>
  <c r="A14" i="1"/>
  <c r="A8" i="1"/>
  <c r="AI14" i="2"/>
  <c r="AI3" i="2"/>
  <c r="S5" i="1" l="1"/>
  <c r="C25" i="3"/>
  <c r="B25" i="3"/>
  <c r="AI13" i="2" l="1"/>
  <c r="AI9" i="2"/>
  <c r="AI15" i="2"/>
  <c r="B24" i="3"/>
  <c r="E31" i="1" l="1"/>
  <c r="G31" i="1" s="1"/>
  <c r="E30" i="1"/>
  <c r="G30" i="1" s="1"/>
  <c r="E4" i="1"/>
  <c r="F4" i="1" s="1"/>
  <c r="G4" i="1" s="1"/>
  <c r="E3" i="1"/>
  <c r="F3" i="1" s="1"/>
  <c r="G3" i="1" s="1"/>
  <c r="C4" i="1"/>
  <c r="C3" i="1"/>
  <c r="E26" i="1"/>
  <c r="G26" i="1" s="1"/>
  <c r="E25" i="1"/>
  <c r="G25" i="1" s="1"/>
  <c r="E20" i="1"/>
  <c r="G20" i="1" s="1"/>
  <c r="E19" i="1"/>
  <c r="G19" i="1" s="1"/>
  <c r="E15" i="1"/>
  <c r="F15" i="1" s="1"/>
  <c r="G15" i="1" s="1"/>
  <c r="E14" i="1"/>
  <c r="F14" i="1" s="1"/>
  <c r="G14" i="1" s="1"/>
  <c r="E9" i="1"/>
  <c r="G9" i="1" s="1"/>
  <c r="E8" i="1"/>
  <c r="G8" i="1" s="1"/>
  <c r="D3" i="1"/>
  <c r="D19" i="1" s="1"/>
  <c r="D4" i="1"/>
  <c r="D26" i="1" s="1"/>
  <c r="B29" i="3"/>
  <c r="B28" i="3"/>
  <c r="B27" i="3"/>
  <c r="B26" i="3"/>
  <c r="B23" i="3"/>
  <c r="B22" i="3"/>
  <c r="B21" i="3"/>
  <c r="C29" i="3"/>
  <c r="C28" i="3"/>
  <c r="C27" i="3"/>
  <c r="C26" i="3"/>
  <c r="C24" i="3"/>
  <c r="C23" i="3"/>
  <c r="C22" i="3"/>
  <c r="C21" i="3"/>
  <c r="L11" i="2"/>
  <c r="L12" i="2"/>
  <c r="L13" i="2"/>
  <c r="L14" i="2"/>
  <c r="L15" i="2"/>
  <c r="L10" i="2"/>
  <c r="AI16" i="2" l="1"/>
  <c r="C19" i="1"/>
  <c r="C15" i="1"/>
  <c r="C26" i="1"/>
  <c r="C25" i="1"/>
  <c r="H19" i="1"/>
  <c r="I19" i="1" s="1"/>
  <c r="K19" i="1" s="1"/>
  <c r="L19" i="1" s="1"/>
  <c r="H4" i="1"/>
  <c r="I4" i="1" s="1"/>
  <c r="K4" i="1" s="1"/>
  <c r="H3" i="1"/>
  <c r="I3" i="1" s="1"/>
  <c r="H26" i="1"/>
  <c r="I26" i="1" s="1"/>
  <c r="AI7" i="2"/>
  <c r="D31" i="1"/>
  <c r="H31" i="1" s="1"/>
  <c r="I31" i="1" s="1"/>
  <c r="C30" i="1"/>
  <c r="D30" i="1"/>
  <c r="C31" i="1"/>
  <c r="D8" i="1"/>
  <c r="H8" i="1" s="1"/>
  <c r="I8" i="1" s="1"/>
  <c r="D25" i="1"/>
  <c r="H25" i="1" s="1"/>
  <c r="C8" i="1"/>
  <c r="C14" i="1"/>
  <c r="D14" i="1"/>
  <c r="D9" i="1"/>
  <c r="H9" i="1" s="1"/>
  <c r="D15" i="1"/>
  <c r="D20" i="1"/>
  <c r="H20" i="1" s="1"/>
  <c r="C9" i="1"/>
  <c r="C20" i="1"/>
  <c r="K3" i="1" l="1"/>
  <c r="N3" i="1"/>
  <c r="K8" i="1"/>
  <c r="L8" i="1" s="1"/>
  <c r="V7" i="1"/>
  <c r="W7" i="1" s="1"/>
  <c r="V5" i="1"/>
  <c r="W5" i="1" s="1"/>
  <c r="N4" i="1"/>
  <c r="H15" i="1"/>
  <c r="I15" i="1" s="1"/>
  <c r="K15" i="1" s="1"/>
  <c r="L15" i="1" s="1"/>
  <c r="O15" i="1"/>
  <c r="P15" i="1" s="1"/>
  <c r="H14" i="1"/>
  <c r="I14" i="1" s="1"/>
  <c r="K14" i="1" s="1"/>
  <c r="L14" i="1" s="1"/>
  <c r="O14" i="1"/>
  <c r="P14" i="1" s="1"/>
  <c r="H30" i="1"/>
  <c r="I30" i="1" s="1"/>
  <c r="K31" i="1"/>
  <c r="K26" i="1"/>
  <c r="L26" i="1" s="1"/>
  <c r="I25" i="1"/>
  <c r="K30" i="1" s="1"/>
  <c r="I20" i="1"/>
  <c r="K20" i="1" s="1"/>
  <c r="L20" i="1" s="1"/>
  <c r="I9" i="1"/>
  <c r="K9" i="1" l="1"/>
  <c r="L9" i="1" s="1"/>
  <c r="Q14" i="1"/>
  <c r="R14" i="1" s="1"/>
  <c r="Q15" i="1"/>
  <c r="R15" i="1" s="1"/>
  <c r="L31" i="1"/>
  <c r="K25" i="1"/>
  <c r="V6" i="1" l="1"/>
  <c r="W6" i="1" s="1"/>
  <c r="L25" i="1"/>
  <c r="L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Sebastian Zapata Hoyos</author>
  </authors>
  <commentList>
    <comment ref="N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  <comment ref="N15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 Urea</t>
        </r>
      </text>
    </comment>
    <comment ref="O15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de: 
Urea - 60%
(NH4)2SO4 - 40%</t>
        </r>
      </text>
    </comment>
    <comment ref="P1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Jhon Sebastian Zapata Hoyos
</t>
        </r>
        <r>
          <rPr>
            <sz val="9"/>
            <color indexed="81"/>
            <rFont val="Tahoma"/>
            <family val="2"/>
          </rPr>
          <t>Aplicacion de DAP</t>
        </r>
      </text>
    </comment>
    <comment ref="Q15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Jhon Sebastian Zapata Hoyos:</t>
        </r>
        <r>
          <rPr>
            <sz val="9"/>
            <color indexed="81"/>
            <rFont val="Tahoma"/>
            <family val="2"/>
          </rPr>
          <t xml:space="preserve">
Aplicación 
SFT
MAP</t>
        </r>
      </text>
    </comment>
  </commentList>
</comments>
</file>

<file path=xl/sharedStrings.xml><?xml version="1.0" encoding="utf-8"?>
<sst xmlns="http://schemas.openxmlformats.org/spreadsheetml/2006/main" count="616" uniqueCount="340">
  <si>
    <t>Zona</t>
  </si>
  <si>
    <t>Suerte</t>
  </si>
  <si>
    <r>
      <t>Densidad aparente del suelo (</t>
    </r>
    <r>
      <rPr>
        <sz val="10"/>
        <color theme="1"/>
        <rFont val="Calibri"/>
        <family val="2"/>
      </rPr>
      <t>ρ</t>
    </r>
    <r>
      <rPr>
        <sz val="10"/>
        <color theme="1"/>
        <rFont val="Calibri"/>
        <family val="2"/>
        <scheme val="minor"/>
      </rPr>
      <t>)</t>
    </r>
  </si>
  <si>
    <t>Ton/m3</t>
  </si>
  <si>
    <t>m</t>
  </si>
  <si>
    <t>Unidad</t>
  </si>
  <si>
    <t>Valor</t>
  </si>
  <si>
    <t>Cantidad de N en la M.O</t>
  </si>
  <si>
    <t>%</t>
  </si>
  <si>
    <t>Tasa de mineralizacion del N</t>
  </si>
  <si>
    <t>Area Ha</t>
  </si>
  <si>
    <t>Calculo de Nitrogeno</t>
  </si>
  <si>
    <t xml:space="preserve">Parametros de referencia </t>
  </si>
  <si>
    <t>P</t>
  </si>
  <si>
    <t>K</t>
  </si>
  <si>
    <t>Calculo de Fosforo</t>
  </si>
  <si>
    <t>P (ppm)</t>
  </si>
  <si>
    <t>Cantidad de M.O (ton/ha)</t>
  </si>
  <si>
    <t>Profundidad de extraccion (h)</t>
  </si>
  <si>
    <t>Calculo de Potasio</t>
  </si>
  <si>
    <t>K (meq/100 g suelo)</t>
  </si>
  <si>
    <t>ppm [K] disponible suelo</t>
  </si>
  <si>
    <t>Kg/ha [K] disponible suelo</t>
  </si>
  <si>
    <t>Dosis Plantilla (Kg/Ha)</t>
  </si>
  <si>
    <t>pH</t>
  </si>
  <si>
    <t>Arc_mean</t>
  </si>
  <si>
    <t>Aren_mean</t>
  </si>
  <si>
    <t>Lim_mean</t>
  </si>
  <si>
    <t>pH_mean</t>
  </si>
  <si>
    <t>MO%_mean</t>
  </si>
  <si>
    <t>CIC_mean</t>
  </si>
  <si>
    <t>Ca_mean</t>
  </si>
  <si>
    <t>Cu_mean</t>
  </si>
  <si>
    <t>Fe_mean</t>
  </si>
  <si>
    <t>K_mean</t>
  </si>
  <si>
    <t>Mg_mean</t>
  </si>
  <si>
    <t>Mn_mean</t>
  </si>
  <si>
    <t>Na_mean</t>
  </si>
  <si>
    <t>P_mean</t>
  </si>
  <si>
    <t>Zn_mean</t>
  </si>
  <si>
    <t>TCH_mean</t>
  </si>
  <si>
    <t>Area(Ha)</t>
  </si>
  <si>
    <t xml:space="preserve">Factor de extraccion por Variedad </t>
  </si>
  <si>
    <t>CC 01-1940</t>
  </si>
  <si>
    <t>CC 01-678</t>
  </si>
  <si>
    <t>CC 05-430</t>
  </si>
  <si>
    <t>CC 85-92</t>
  </si>
  <si>
    <t>CC 93-4418</t>
  </si>
  <si>
    <t>Nutriente / Variedad</t>
  </si>
  <si>
    <t>Nitrogeno</t>
  </si>
  <si>
    <t>Fosforo</t>
  </si>
  <si>
    <t>Potasio</t>
  </si>
  <si>
    <t>Magnesio</t>
  </si>
  <si>
    <t>Calcio</t>
  </si>
  <si>
    <t>Azufre</t>
  </si>
  <si>
    <t>Hierro</t>
  </si>
  <si>
    <t>Manganeso</t>
  </si>
  <si>
    <t>Cobre</t>
  </si>
  <si>
    <t>Zinc</t>
  </si>
  <si>
    <t>Boro</t>
  </si>
  <si>
    <t>Promedio</t>
  </si>
  <si>
    <t xml:space="preserve">1 Hectarea </t>
  </si>
  <si>
    <t>m2</t>
  </si>
  <si>
    <t>Kg</t>
  </si>
  <si>
    <t>Parametros del Suelo</t>
  </si>
  <si>
    <t xml:space="preserve">Conversiones </t>
  </si>
  <si>
    <t xml:space="preserve">1 Tonelada </t>
  </si>
  <si>
    <t>ppm</t>
  </si>
  <si>
    <t>1 meq/100gr Suelo K+</t>
  </si>
  <si>
    <t>1 meq/100gr Suelo Ca+2</t>
  </si>
  <si>
    <t>1 meq/100gr Suelo Mg+2</t>
  </si>
  <si>
    <t>1 meq/100gr Suelo Na+</t>
  </si>
  <si>
    <t>1 meq/100gr Suelo AL+3</t>
  </si>
  <si>
    <t>1 meq/100gr Suelo Zn+2</t>
  </si>
  <si>
    <t>1Kg</t>
  </si>
  <si>
    <t>mg</t>
  </si>
  <si>
    <t xml:space="preserve"> M.O</t>
  </si>
  <si>
    <t>Niveles de interpretacion de relaciones iónicas en resultados de análisis de suelos</t>
  </si>
  <si>
    <t>Relaciones iónicas</t>
  </si>
  <si>
    <t>Ideal</t>
  </si>
  <si>
    <t>Rango critico</t>
  </si>
  <si>
    <t>Deficiencia</t>
  </si>
  <si>
    <t>Ca/Mg</t>
  </si>
  <si>
    <t>3 - 4</t>
  </si>
  <si>
    <t>&lt;3</t>
  </si>
  <si>
    <t>&gt;4</t>
  </si>
  <si>
    <t>Mg/K</t>
  </si>
  <si>
    <t>6 - 8</t>
  </si>
  <si>
    <t>&gt;10</t>
  </si>
  <si>
    <t>&lt;5</t>
  </si>
  <si>
    <t>Ca+Mg/K</t>
  </si>
  <si>
    <t>12 - 20</t>
  </si>
  <si>
    <t>&gt;25</t>
  </si>
  <si>
    <t>&lt;10</t>
  </si>
  <si>
    <t>Calcio y/o Magnesio</t>
  </si>
  <si>
    <t>Na/K</t>
  </si>
  <si>
    <t>0,5 - 1</t>
  </si>
  <si>
    <t>&gt;1</t>
  </si>
  <si>
    <t>Ca/K</t>
  </si>
  <si>
    <t>&gt;15</t>
  </si>
  <si>
    <t>Ca/B</t>
  </si>
  <si>
    <t>1000 - 2000</t>
  </si>
  <si>
    <t>&gt;2000</t>
  </si>
  <si>
    <t>Fe/Mn</t>
  </si>
  <si>
    <t>8 - 10</t>
  </si>
  <si>
    <t>&lt;8</t>
  </si>
  <si>
    <t>P/Zn</t>
  </si>
  <si>
    <t xml:space="preserve">8 - 10 </t>
  </si>
  <si>
    <t>&gt;12</t>
  </si>
  <si>
    <t>Fe/Zn</t>
  </si>
  <si>
    <t>13 - 15</t>
  </si>
  <si>
    <t>&lt;13</t>
  </si>
  <si>
    <t xml:space="preserve">N Acido </t>
  </si>
  <si>
    <t xml:space="preserve">Salino </t>
  </si>
  <si>
    <t>&gt;7,5 o &lt;6,5</t>
  </si>
  <si>
    <t>&gt;70</t>
  </si>
  <si>
    <t>&lt;70</t>
  </si>
  <si>
    <t xml:space="preserve">Ph  </t>
  </si>
  <si>
    <t>(Ca+Mg)/K</t>
  </si>
  <si>
    <t>6,5 - 7,5</t>
  </si>
  <si>
    <t>Parametros Fertilizates</t>
  </si>
  <si>
    <t>Eficiencia de Fertilizantes Comité de AP</t>
  </si>
  <si>
    <t xml:space="preserve">N </t>
  </si>
  <si>
    <t>S</t>
  </si>
  <si>
    <t>Ca</t>
  </si>
  <si>
    <t>Si</t>
  </si>
  <si>
    <t>C</t>
  </si>
  <si>
    <t>Fertilizante/ Nutrimento</t>
  </si>
  <si>
    <t>ZINCOFERTIL X 20KG</t>
  </si>
  <si>
    <t>MICROFERTIL X 46KG</t>
  </si>
  <si>
    <t>FOSQUIMINT VEINTE-8</t>
  </si>
  <si>
    <t>SULFATO DE CALCIO ( YESO AGRICOLA)</t>
  </si>
  <si>
    <t>NITRORGANIC FERT. ORGAN EMPRESAGRO</t>
  </si>
  <si>
    <t>UREA ESPECIFICACION</t>
  </si>
  <si>
    <t>BOROZINCO</t>
  </si>
  <si>
    <t>CLORURO DE POTASIO ESPECIFI</t>
  </si>
  <si>
    <t>FERTICANA ESPECIFICACION</t>
  </si>
  <si>
    <t>SULFATO AMONIO-CAMPO ESPEC</t>
  </si>
  <si>
    <t>NITRO XTEND</t>
  </si>
  <si>
    <t>FOSFATO DIAMONICO (DAP)</t>
  </si>
  <si>
    <t>-</t>
  </si>
  <si>
    <t>Mg</t>
  </si>
  <si>
    <t>B</t>
  </si>
  <si>
    <t>Fe</t>
  </si>
  <si>
    <t>Zn</t>
  </si>
  <si>
    <t>Cu</t>
  </si>
  <si>
    <t>Cl</t>
  </si>
  <si>
    <t>K/Mg</t>
  </si>
  <si>
    <t>B_mean</t>
  </si>
  <si>
    <t>Urea</t>
  </si>
  <si>
    <t>SULFATO AMONIO</t>
  </si>
  <si>
    <t>SUPER FOSFATO TRIPLE</t>
  </si>
  <si>
    <t>DAP</t>
  </si>
  <si>
    <t>Calculo de Boro</t>
  </si>
  <si>
    <t>Calculo de Zinc</t>
  </si>
  <si>
    <t xml:space="preserve">Eficiencias </t>
  </si>
  <si>
    <t xml:space="preserve">Observaciones </t>
  </si>
  <si>
    <t xml:space="preserve">Alta </t>
  </si>
  <si>
    <t>Baja</t>
  </si>
  <si>
    <t>Variacion por pH</t>
  </si>
  <si>
    <t xml:space="preserve">NIVELES DE FERTILIDAD PARA RECOMENDACIÓN  EN CAÑA DE  AZUCAR </t>
  </si>
  <si>
    <t xml:space="preserve">ELEMENTO </t>
  </si>
  <si>
    <t xml:space="preserve">UNIDAD </t>
  </si>
  <si>
    <t>BAJO</t>
  </si>
  <si>
    <t xml:space="preserve">  NORMAL </t>
  </si>
  <si>
    <t>ALTO</t>
  </si>
  <si>
    <t>DATO Analisis</t>
  </si>
  <si>
    <t>Calificacion</t>
  </si>
  <si>
    <t>Textura</t>
  </si>
  <si>
    <t>PH</t>
  </si>
  <si>
    <t>MO</t>
  </si>
  <si>
    <t>&lt; 2.0</t>
  </si>
  <si>
    <t>( 2 - 4)</t>
  </si>
  <si>
    <t>&gt;4.0</t>
  </si>
  <si>
    <t>&lt; 5.0</t>
  </si>
  <si>
    <t>( 5 - 10)</t>
  </si>
  <si>
    <t>me/100 g</t>
  </si>
  <si>
    <t>&lt;0.20</t>
  </si>
  <si>
    <t>(0.20 - 0.40)</t>
  </si>
  <si>
    <t>&gt;0.40</t>
  </si>
  <si>
    <t>&lt;3.0</t>
  </si>
  <si>
    <t>( 3 - 6 )</t>
  </si>
  <si>
    <t>&gt;6.0</t>
  </si>
  <si>
    <t>&lt; 1.5</t>
  </si>
  <si>
    <t>(1.5 - 2.5)</t>
  </si>
  <si>
    <t>&gt;2.5</t>
  </si>
  <si>
    <t>Na</t>
  </si>
  <si>
    <t>&lt;0.5</t>
  </si>
  <si>
    <t>&gt;0.50</t>
  </si>
  <si>
    <t>&lt; 6.0</t>
  </si>
  <si>
    <t>( 6 - 12 )</t>
  </si>
  <si>
    <t>&gt;12.0</t>
  </si>
  <si>
    <t>&lt;30</t>
  </si>
  <si>
    <t>(30 - 50)</t>
  </si>
  <si>
    <t>&gt;50</t>
  </si>
  <si>
    <t>Mn</t>
  </si>
  <si>
    <t>&lt;20</t>
  </si>
  <si>
    <t>(20 - 40)</t>
  </si>
  <si>
    <t>&gt;40</t>
  </si>
  <si>
    <t>&lt; 1.0</t>
  </si>
  <si>
    <t>( 1 - 3)</t>
  </si>
  <si>
    <t>&gt;3.0</t>
  </si>
  <si>
    <t>( 1 - 1.5)</t>
  </si>
  <si>
    <t>&gt;1.5</t>
  </si>
  <si>
    <t>&lt; 0.40</t>
  </si>
  <si>
    <t>(0.40 - 0.5)</t>
  </si>
  <si>
    <t>&gt;0.5</t>
  </si>
  <si>
    <t>Mb</t>
  </si>
  <si>
    <t>&lt;0.1</t>
  </si>
  <si>
    <t>&gt;0.1</t>
  </si>
  <si>
    <t>Al</t>
  </si>
  <si>
    <t>( 1 - 2)</t>
  </si>
  <si>
    <t>&gt;2.0</t>
  </si>
  <si>
    <t>Co</t>
  </si>
  <si>
    <t>&lt;0.7</t>
  </si>
  <si>
    <t>(0.7 - 1.0)</t>
  </si>
  <si>
    <t>&gt;1.0</t>
  </si>
  <si>
    <t>C.I.C</t>
  </si>
  <si>
    <t>&lt; 10</t>
  </si>
  <si>
    <t>(10 - 20)</t>
  </si>
  <si>
    <t>&gt;20</t>
  </si>
  <si>
    <t>CE</t>
  </si>
  <si>
    <t>dS/cm</t>
  </si>
  <si>
    <t>0-2</t>
  </si>
  <si>
    <t xml:space="preserve">2 - 3 </t>
  </si>
  <si>
    <t xml:space="preserve">&gt; 3 </t>
  </si>
  <si>
    <t>CALIFICACION DE TEXTURA</t>
  </si>
  <si>
    <t>Arcillosa</t>
  </si>
  <si>
    <t xml:space="preserve">Ar </t>
  </si>
  <si>
    <t xml:space="preserve">Fino - pesado </t>
  </si>
  <si>
    <t xml:space="preserve">Arcillo  Arenosa </t>
  </si>
  <si>
    <t>ArA</t>
  </si>
  <si>
    <t xml:space="preserve">Fino sobre arenoso </t>
  </si>
  <si>
    <t xml:space="preserve">Arcillo Limoso </t>
  </si>
  <si>
    <t>ArL</t>
  </si>
  <si>
    <t xml:space="preserve">Fino sobre arcilloso </t>
  </si>
  <si>
    <t xml:space="preserve">Franco Arcilloso </t>
  </si>
  <si>
    <t>Far</t>
  </si>
  <si>
    <t xml:space="preserve">Medio </t>
  </si>
  <si>
    <t xml:space="preserve">Franco Arcillo Limoso </t>
  </si>
  <si>
    <t>FArL</t>
  </si>
  <si>
    <t xml:space="preserve">Franco Fino Sobre Fino </t>
  </si>
  <si>
    <t xml:space="preserve">Franco Arcillo Arenoso </t>
  </si>
  <si>
    <t>FArA</t>
  </si>
  <si>
    <t>Franco fino sobre grueso</t>
  </si>
  <si>
    <t xml:space="preserve">Franco </t>
  </si>
  <si>
    <t>F</t>
  </si>
  <si>
    <t xml:space="preserve">Suelto </t>
  </si>
  <si>
    <t xml:space="preserve">Franco Arenoso </t>
  </si>
  <si>
    <t>FA</t>
  </si>
  <si>
    <t xml:space="preserve">Franco grueso </t>
  </si>
  <si>
    <t xml:space="preserve">Franco Limoso </t>
  </si>
  <si>
    <t>FL</t>
  </si>
  <si>
    <t>Franco Fino</t>
  </si>
  <si>
    <t>Arenoso Franco</t>
  </si>
  <si>
    <t>AF</t>
  </si>
  <si>
    <t xml:space="preserve">Liviano suelto </t>
  </si>
  <si>
    <t xml:space="preserve">Arenoso </t>
  </si>
  <si>
    <t>A</t>
  </si>
  <si>
    <t xml:space="preserve">Liviano </t>
  </si>
  <si>
    <t xml:space="preserve">Limo </t>
  </si>
  <si>
    <t>L</t>
  </si>
  <si>
    <t>Muy Fino</t>
  </si>
  <si>
    <t>4.5 a 5.0 Muy fuertemente acido</t>
  </si>
  <si>
    <t>5.1 a 5.5 Fuertemente acido</t>
  </si>
  <si>
    <t>5.6 a 6.0 Moderadamente acido</t>
  </si>
  <si>
    <t>6.1 a 6.5 Ligeramente acido</t>
  </si>
  <si>
    <t>6.6 a 7.3  Neutro</t>
  </si>
  <si>
    <t xml:space="preserve">7.4 a 7.8  Ligeramente alcalino </t>
  </si>
  <si>
    <t xml:space="preserve">7.9 a 8.4  Moderadamente alcalino </t>
  </si>
  <si>
    <t xml:space="preserve">8.5 a 9.0  Fuertemente alcalino </t>
  </si>
  <si>
    <t>Variacion de pH (6,5-7,5) Alta - (&gt;7,5 o &lt;6,5) Baja</t>
  </si>
  <si>
    <t>Variacion de Relacion (Ca+Mg)/K (&gt;70) Alta - (&lt;70) Baja</t>
  </si>
  <si>
    <t>Adaptado de Castro y Gomez 2010</t>
  </si>
  <si>
    <t>Kg [Zn] /ha  disponible suelo</t>
  </si>
  <si>
    <t>Kg  [B] /ha  disponible suelo</t>
  </si>
  <si>
    <t xml:space="preserve">Fertilizante </t>
  </si>
  <si>
    <t xml:space="preserve">Absorcion  de N del suelos </t>
  </si>
  <si>
    <t>Kg/ha [P] disponible suelo</t>
  </si>
  <si>
    <t>Kg/ha [N] disponible suelo</t>
  </si>
  <si>
    <t>Kg/ha [P] demandado</t>
  </si>
  <si>
    <t>Kg/ha [N] demandado</t>
  </si>
  <si>
    <t>Kg/ha [K] demandado</t>
  </si>
  <si>
    <t>Kg/ha [B] demandado</t>
  </si>
  <si>
    <t>Kg/ha [Zn] demandado</t>
  </si>
  <si>
    <t>Dosis (Kg/ha  [N])</t>
  </si>
  <si>
    <t>Dosis (Kg/ha  [P])</t>
  </si>
  <si>
    <t>Dosis (Kg/ha  [K])</t>
  </si>
  <si>
    <t>Dosis (Kg/ha  [B])</t>
  </si>
  <si>
    <t>Dosis (Kg/ha  [Zn])</t>
  </si>
  <si>
    <t>Productividad Est (ton/ha)</t>
  </si>
  <si>
    <t>Kg Fert/Ha</t>
  </si>
  <si>
    <t>NITROGENO</t>
  </si>
  <si>
    <t>FOSFORO</t>
  </si>
  <si>
    <t>POTASIO</t>
  </si>
  <si>
    <t>MENORES</t>
  </si>
  <si>
    <t>Eficiencias Seleccionada</t>
  </si>
  <si>
    <t>&gt;7,5 o &gt;&lt;6,5&gt;</t>
  </si>
  <si>
    <t>Menores (gr/THC)</t>
  </si>
  <si>
    <t>Mayores (Kg / THC)</t>
  </si>
  <si>
    <t>Calculo de Hierro</t>
  </si>
  <si>
    <t xml:space="preserve">Hacienda </t>
  </si>
  <si>
    <t xml:space="preserve">Caracteristicas de la Suerte </t>
  </si>
  <si>
    <t xml:space="preserve">Suerte </t>
  </si>
  <si>
    <t xml:space="preserve">Area </t>
  </si>
  <si>
    <t xml:space="preserve">Fecha de Siembra </t>
  </si>
  <si>
    <t xml:space="preserve">Edad Hoy </t>
  </si>
  <si>
    <t># Cortes</t>
  </si>
  <si>
    <t xml:space="preserve">Variedad </t>
  </si>
  <si>
    <t xml:space="preserve">Zona </t>
  </si>
  <si>
    <t>Mayordomo</t>
  </si>
  <si>
    <t xml:space="preserve">Zona Agroecologica </t>
  </si>
  <si>
    <t>TCH Actual</t>
  </si>
  <si>
    <t xml:space="preserve">TCH Promedio </t>
  </si>
  <si>
    <t>Kg/ha [K] Demandado</t>
  </si>
  <si>
    <t>Dosis</t>
  </si>
  <si>
    <t>Kg/ha [Fertilizante]</t>
  </si>
  <si>
    <t>TCH</t>
  </si>
  <si>
    <t>Zona 1</t>
  </si>
  <si>
    <t>Zona 2</t>
  </si>
  <si>
    <t xml:space="preserve">Mezcla de Productos </t>
  </si>
  <si>
    <t xml:space="preserve">Dosificacion de Potasio por Extraccion </t>
  </si>
  <si>
    <t xml:space="preserve">Resumen de Apicacion </t>
  </si>
  <si>
    <t>Producto</t>
  </si>
  <si>
    <t>AREA</t>
  </si>
  <si>
    <t>HACIENDA</t>
  </si>
  <si>
    <t>SUERTE</t>
  </si>
  <si>
    <t>TENENCIA</t>
  </si>
  <si>
    <t>F.CORTE</t>
  </si>
  <si>
    <t>N CORTE</t>
  </si>
  <si>
    <t>MAPA PRODUCTIVIDAD</t>
  </si>
  <si>
    <t>VARIEDAD</t>
  </si>
  <si>
    <t>TCH Maximo historico</t>
  </si>
  <si>
    <t>FOSFATO MONOAMÓNICO (MAP)</t>
  </si>
  <si>
    <t>Dosis resrva</t>
  </si>
  <si>
    <t>Kg producto</t>
  </si>
  <si>
    <t>Dosis unificada</t>
  </si>
  <si>
    <t>CE_mean</t>
  </si>
  <si>
    <t>Dosis Plantilla(Kg/Ha)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</si>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</sst>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rgb="FF08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BDE9"/>
        <bgColor indexed="64"/>
      </patternFill>
    </fill>
    <fill>
      <patternFill patternType="solid">
        <fgColor rgb="FFD3399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/>
    <xf numFmtId="0" fontId="2" fillId="7" borderId="12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0" fontId="1" fillId="0" borderId="1" xfId="1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1" borderId="2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1" fillId="0" borderId="1" xfId="0" applyFont="1" applyBorder="1"/>
    <xf numFmtId="164" fontId="10" fillId="10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3" xfId="0" applyFont="1" applyBorder="1"/>
    <xf numFmtId="0" fontId="10" fillId="0" borderId="1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0" xfId="0" applyFont="1"/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" fillId="0" borderId="26" xfId="0" applyFont="1" applyBorder="1"/>
    <xf numFmtId="0" fontId="1" fillId="0" borderId="7" xfId="0" applyFont="1" applyBorder="1"/>
    <xf numFmtId="0" fontId="10" fillId="0" borderId="28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9" fillId="0" borderId="2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13" borderId="33" xfId="0" applyFont="1" applyFill="1" applyBorder="1"/>
    <xf numFmtId="0" fontId="9" fillId="13" borderId="34" xfId="0" applyFont="1" applyFill="1" applyBorder="1"/>
    <xf numFmtId="0" fontId="9" fillId="13" borderId="35" xfId="0" applyFont="1" applyFill="1" applyBorder="1"/>
    <xf numFmtId="0" fontId="9" fillId="14" borderId="30" xfId="0" applyFont="1" applyFill="1" applyBorder="1" applyAlignment="1">
      <alignment horizontal="left"/>
    </xf>
    <xf numFmtId="0" fontId="1" fillId="14" borderId="0" xfId="0" applyFont="1" applyFill="1"/>
    <xf numFmtId="0" fontId="1" fillId="14" borderId="37" xfId="0" applyFont="1" applyFill="1" applyBorder="1"/>
    <xf numFmtId="0" fontId="9" fillId="10" borderId="30" xfId="0" applyFont="1" applyFill="1" applyBorder="1" applyAlignment="1">
      <alignment horizontal="left"/>
    </xf>
    <xf numFmtId="0" fontId="1" fillId="10" borderId="0" xfId="0" applyFont="1" applyFill="1"/>
    <xf numFmtId="0" fontId="1" fillId="10" borderId="37" xfId="0" applyFont="1" applyFill="1" applyBorder="1"/>
    <xf numFmtId="0" fontId="9" fillId="10" borderId="39" xfId="0" applyFont="1" applyFill="1" applyBorder="1" applyAlignment="1">
      <alignment horizontal="left"/>
    </xf>
    <xf numFmtId="0" fontId="1" fillId="10" borderId="40" xfId="0" applyFont="1" applyFill="1" applyBorder="1"/>
    <xf numFmtId="0" fontId="1" fillId="10" borderId="41" xfId="0" applyFont="1" applyFill="1" applyBorder="1"/>
    <xf numFmtId="0" fontId="1" fillId="0" borderId="8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10" fontId="8" fillId="0" borderId="1" xfId="1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10" fontId="12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9" fillId="0" borderId="3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9" fillId="13" borderId="30" xfId="0" applyFont="1" applyFill="1" applyBorder="1" applyAlignment="1">
      <alignment horizontal="left"/>
    </xf>
    <xf numFmtId="0" fontId="9" fillId="13" borderId="0" xfId="0" applyFont="1" applyFill="1" applyAlignment="1">
      <alignment horizontal="left"/>
    </xf>
    <xf numFmtId="0" fontId="9" fillId="13" borderId="37" xfId="0" applyFont="1" applyFill="1" applyBorder="1" applyAlignment="1">
      <alignment horizontal="left"/>
    </xf>
    <xf numFmtId="0" fontId="9" fillId="14" borderId="0" xfId="0" applyFont="1" applyFill="1" applyAlignment="1">
      <alignment horizontal="left"/>
    </xf>
    <xf numFmtId="0" fontId="9" fillId="14" borderId="37" xfId="0" applyFont="1" applyFill="1" applyBorder="1" applyAlignment="1">
      <alignment horizontal="left"/>
    </xf>
    <xf numFmtId="0" fontId="9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9" fontId="0" fillId="0" borderId="0" xfId="0" applyNumberFormat="1"/>
    <xf numFmtId="0" fontId="14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19" xfId="0" applyBorder="1"/>
    <xf numFmtId="0" fontId="0" fillId="0" borderId="13" xfId="0" applyBorder="1"/>
    <xf numFmtId="0" fontId="15" fillId="0" borderId="0" xfId="0" applyFont="1"/>
    <xf numFmtId="49" fontId="15" fillId="0" borderId="0" xfId="0" applyNumberFormat="1" applyFont="1"/>
    <xf numFmtId="14" fontId="15" fillId="0" borderId="0" xfId="0" applyNumberFormat="1" applyFont="1"/>
    <xf numFmtId="2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5" xfId="0" applyBorder="1"/>
    <xf numFmtId="0" fontId="2" fillId="16" borderId="25" xfId="0" applyFont="1" applyFill="1" applyBorder="1"/>
    <xf numFmtId="2" fontId="0" fillId="0" borderId="1" xfId="0" applyNumberFormat="1" applyBorder="1"/>
    <xf numFmtId="2" fontId="0" fillId="0" borderId="28" xfId="0" applyNumberFormat="1" applyBorder="1"/>
    <xf numFmtId="1" fontId="2" fillId="5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8" fillId="0" borderId="1" xfId="0" applyFont="1" applyBorder="1" applyAlignment="1">
      <alignment horizontal="center"/>
    </xf>
    <xf numFmtId="2" fontId="2" fillId="0" borderId="44" xfId="0" applyNumberFormat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49" fontId="2" fillId="0" borderId="45" xfId="0" applyNumberFormat="1" applyFont="1" applyBorder="1" applyAlignment="1">
      <alignment horizontal="center"/>
    </xf>
    <xf numFmtId="49" fontId="2" fillId="0" borderId="46" xfId="0" applyNumberFormat="1" applyFont="1" applyBorder="1" applyAlignment="1">
      <alignment horizontal="center"/>
    </xf>
    <xf numFmtId="2" fontId="1" fillId="0" borderId="47" xfId="0" applyNumberFormat="1" applyFont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2" fontId="18" fillId="0" borderId="4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0" fontId="0" fillId="0" borderId="27" xfId="0" applyBorder="1"/>
    <xf numFmtId="2" fontId="0" fillId="0" borderId="7" xfId="0" applyNumberFormat="1" applyBorder="1"/>
    <xf numFmtId="2" fontId="0" fillId="0" borderId="52" xfId="0" applyNumberFormat="1" applyBorder="1"/>
    <xf numFmtId="0" fontId="14" fillId="9" borderId="15" xfId="0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 vertical="center"/>
    </xf>
    <xf numFmtId="1" fontId="2" fillId="6" borderId="53" xfId="0" applyNumberFormat="1" applyFont="1" applyFill="1" applyBorder="1" applyAlignment="1">
      <alignment horizontal="center" vertical="center"/>
    </xf>
    <xf numFmtId="2" fontId="0" fillId="0" borderId="54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0" fontId="0" fillId="0" borderId="55" xfId="0" applyBorder="1"/>
    <xf numFmtId="2" fontId="0" fillId="0" borderId="27" xfId="0" applyNumberFormat="1" applyBorder="1"/>
    <xf numFmtId="2" fontId="0" fillId="0" borderId="12" xfId="0" applyNumberFormat="1" applyBorder="1"/>
    <xf numFmtId="0" fontId="0" fillId="0" borderId="21" xfId="0" applyBorder="1"/>
    <xf numFmtId="0" fontId="14" fillId="9" borderId="12" xfId="0" applyFont="1" applyFill="1" applyBorder="1" applyAlignment="1">
      <alignment horizontal="center"/>
    </xf>
    <xf numFmtId="0" fontId="14" fillId="9" borderId="21" xfId="0" applyFont="1" applyFill="1" applyBorder="1" applyAlignment="1">
      <alignment horizontal="center"/>
    </xf>
    <xf numFmtId="14" fontId="19" fillId="0" borderId="48" xfId="0" applyNumberFormat="1" applyFont="1" applyBorder="1" applyAlignment="1">
      <alignment horizontal="center" vertical="center"/>
    </xf>
    <xf numFmtId="49" fontId="19" fillId="0" borderId="4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164" fontId="0" fillId="0" borderId="13" xfId="0" applyNumberFormat="1" applyBorder="1"/>
    <xf numFmtId="0" fontId="2" fillId="0" borderId="27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2" fontId="17" fillId="0" borderId="29" xfId="0" applyNumberFormat="1" applyFont="1" applyBorder="1" applyAlignment="1">
      <alignment horizontal="center"/>
    </xf>
    <xf numFmtId="2" fontId="17" fillId="0" borderId="14" xfId="0" applyNumberFormat="1" applyFont="1" applyBorder="1" applyAlignment="1">
      <alignment horizontal="center"/>
    </xf>
    <xf numFmtId="2" fontId="2" fillId="9" borderId="22" xfId="0" applyNumberFormat="1" applyFont="1" applyFill="1" applyBorder="1" applyAlignment="1">
      <alignment horizontal="center"/>
    </xf>
    <xf numFmtId="2" fontId="2" fillId="9" borderId="35" xfId="0" applyNumberFormat="1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0" borderId="56" xfId="0" applyFont="1" applyFill="1" applyBorder="1" applyAlignment="1">
      <alignment horizontal="center"/>
    </xf>
    <xf numFmtId="0" fontId="2" fillId="10" borderId="53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4" fillId="9" borderId="15" xfId="0" applyFont="1" applyFill="1" applyBorder="1" applyAlignment="1">
      <alignment horizontal="center"/>
    </xf>
    <xf numFmtId="0" fontId="14" fillId="9" borderId="17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/>
    </xf>
    <xf numFmtId="0" fontId="14" fillId="9" borderId="50" xfId="0" applyFont="1" applyFill="1" applyBorder="1" applyAlignment="1">
      <alignment horizontal="center"/>
    </xf>
    <xf numFmtId="0" fontId="14" fillId="9" borderId="5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3399B"/>
      <color rgb="FF1FBD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C1" workbookViewId="0">
      <selection activeCell="O9" sqref="O9"/>
    </sheetView>
  </sheetViews>
  <sheetFormatPr baseColWidth="10" defaultRowHeight="15" x14ac:dyDescent="0.25"/>
  <cols>
    <col min="1" max="1" width="19.7109375" bestFit="1" customWidth="1"/>
    <col min="2" max="2" width="25.5703125" bestFit="1" customWidth="1"/>
    <col min="6" max="6" width="12.7109375" bestFit="1" customWidth="1"/>
    <col min="11" max="11" width="14.5703125" customWidth="1"/>
  </cols>
  <sheetData>
    <row r="1" spans="1:18" ht="15.75" thickBot="1" x14ac:dyDescent="0.3">
      <c r="A1" s="197" t="s">
        <v>302</v>
      </c>
      <c r="B1" s="198"/>
      <c r="E1" s="137"/>
      <c r="F1" s="159"/>
      <c r="G1" s="161" t="s">
        <v>325</v>
      </c>
      <c r="H1" s="162" t="s">
        <v>326</v>
      </c>
      <c r="I1" s="162" t="s">
        <v>327</v>
      </c>
      <c r="J1" s="162" t="s">
        <v>324</v>
      </c>
      <c r="K1" s="162" t="s">
        <v>328</v>
      </c>
      <c r="L1" s="163" t="s">
        <v>317</v>
      </c>
      <c r="M1" s="163" t="s">
        <v>329</v>
      </c>
      <c r="N1" s="162" t="s">
        <v>330</v>
      </c>
      <c r="O1" s="164" t="s">
        <v>331</v>
      </c>
      <c r="P1" s="137"/>
      <c r="Q1" s="137"/>
      <c r="R1" s="137"/>
    </row>
    <row r="2" spans="1:18" x14ac:dyDescent="0.25">
      <c r="A2" s="152" t="s">
        <v>301</v>
      </c>
      <c r="B2" s="156"/>
      <c r="E2" s="138"/>
      <c r="F2" s="160"/>
      <c r="G2" s="138"/>
      <c r="H2" s="137"/>
      <c r="I2" s="138"/>
      <c r="J2" s="137"/>
      <c r="K2" s="139"/>
      <c r="L2" s="137"/>
      <c r="M2" s="137"/>
      <c r="N2" s="137"/>
      <c r="O2" s="137"/>
      <c r="P2" s="137"/>
      <c r="Q2" s="137"/>
      <c r="R2" s="137"/>
    </row>
    <row r="3" spans="1:18" x14ac:dyDescent="0.25">
      <c r="A3" s="153" t="s">
        <v>303</v>
      </c>
      <c r="B3" s="157"/>
      <c r="E3" s="138"/>
      <c r="F3" s="160"/>
      <c r="G3" s="138"/>
      <c r="H3" s="137"/>
      <c r="I3" s="138"/>
      <c r="J3" s="137"/>
      <c r="K3" s="139"/>
      <c r="L3" s="137"/>
      <c r="M3" s="137"/>
      <c r="N3" s="137"/>
      <c r="O3" s="137"/>
      <c r="P3" s="137"/>
      <c r="Q3" s="137"/>
      <c r="R3" s="137"/>
    </row>
    <row r="4" spans="1:18" x14ac:dyDescent="0.25">
      <c r="A4" s="154" t="s">
        <v>304</v>
      </c>
      <c r="B4" s="188"/>
      <c r="E4" s="138"/>
      <c r="F4" s="160"/>
      <c r="G4" s="138"/>
      <c r="H4" s="137"/>
      <c r="I4" s="138"/>
      <c r="J4" s="137"/>
      <c r="K4" s="139"/>
      <c r="L4" s="137"/>
      <c r="M4" s="137"/>
      <c r="N4" s="137"/>
      <c r="O4" s="137"/>
      <c r="P4" s="137"/>
      <c r="Q4" s="137"/>
      <c r="R4" s="137"/>
    </row>
    <row r="5" spans="1:18" x14ac:dyDescent="0.25">
      <c r="A5" s="154" t="s">
        <v>307</v>
      </c>
      <c r="B5" s="158"/>
      <c r="E5" s="138"/>
      <c r="F5" s="160"/>
      <c r="G5" s="138"/>
      <c r="H5" s="137"/>
      <c r="I5" s="138"/>
      <c r="J5" s="137"/>
      <c r="K5" s="139"/>
      <c r="L5" s="137"/>
      <c r="M5" s="137"/>
      <c r="N5" s="137"/>
      <c r="O5" s="137"/>
      <c r="P5" s="137"/>
      <c r="Q5" s="137"/>
      <c r="R5" s="137"/>
    </row>
    <row r="6" spans="1:18" x14ac:dyDescent="0.25">
      <c r="A6" s="154" t="s">
        <v>305</v>
      </c>
      <c r="B6" s="184"/>
      <c r="E6" s="138"/>
      <c r="F6" s="160"/>
      <c r="G6" s="138"/>
      <c r="H6" s="137"/>
      <c r="I6" s="138"/>
      <c r="J6" s="137"/>
      <c r="K6" s="139"/>
      <c r="L6" s="137"/>
      <c r="M6" s="137"/>
      <c r="N6" s="137"/>
      <c r="O6" s="137"/>
      <c r="P6" s="137"/>
      <c r="Q6" s="137"/>
      <c r="R6" s="137"/>
    </row>
    <row r="7" spans="1:18" x14ac:dyDescent="0.25">
      <c r="A7" s="154" t="s">
        <v>306</v>
      </c>
      <c r="B7" s="158"/>
      <c r="E7" s="138"/>
      <c r="F7" s="160"/>
      <c r="G7" s="138"/>
      <c r="H7" s="137"/>
      <c r="I7" s="138"/>
      <c r="J7" s="137"/>
      <c r="K7" s="139"/>
      <c r="L7" s="137"/>
      <c r="M7" s="137"/>
      <c r="N7" s="137"/>
      <c r="O7" s="137"/>
      <c r="P7" s="137"/>
      <c r="Q7" s="137"/>
      <c r="R7" s="137"/>
    </row>
    <row r="8" spans="1:18" x14ac:dyDescent="0.25">
      <c r="A8" s="154" t="s">
        <v>308</v>
      </c>
      <c r="B8" s="185"/>
      <c r="E8" s="138"/>
      <c r="F8" s="138"/>
      <c r="G8" s="138"/>
      <c r="H8" s="137"/>
      <c r="I8" s="138"/>
      <c r="J8" s="137"/>
      <c r="K8" s="139"/>
      <c r="L8" s="137"/>
      <c r="M8" s="137"/>
      <c r="N8" s="137"/>
      <c r="O8" s="137"/>
      <c r="P8" s="137"/>
      <c r="Q8" s="137"/>
      <c r="R8" s="137"/>
    </row>
    <row r="9" spans="1:18" x14ac:dyDescent="0.25">
      <c r="A9" s="154" t="s">
        <v>309</v>
      </c>
      <c r="B9" s="185"/>
      <c r="E9" s="138"/>
      <c r="F9" s="138"/>
      <c r="G9" s="138"/>
      <c r="H9" s="137"/>
      <c r="I9" s="138"/>
      <c r="J9" s="137"/>
      <c r="K9" s="139"/>
      <c r="L9" s="137"/>
      <c r="M9" s="137"/>
      <c r="N9" s="137"/>
      <c r="O9" s="137"/>
      <c r="P9" s="137"/>
      <c r="Q9" s="137"/>
      <c r="R9" s="137"/>
    </row>
    <row r="10" spans="1:18" x14ac:dyDescent="0.25">
      <c r="A10" s="154" t="s">
        <v>310</v>
      </c>
      <c r="B10" s="185"/>
      <c r="E10" s="138"/>
      <c r="F10" s="138"/>
      <c r="G10" s="138"/>
      <c r="H10" s="137"/>
      <c r="I10" s="138"/>
      <c r="J10" s="137"/>
      <c r="K10" s="139"/>
      <c r="L10" s="137"/>
      <c r="M10" s="137"/>
      <c r="N10" s="137"/>
      <c r="O10" s="137"/>
      <c r="P10" s="137"/>
      <c r="Q10" s="137"/>
      <c r="R10" s="137"/>
    </row>
    <row r="11" spans="1:18" x14ac:dyDescent="0.25">
      <c r="A11" s="154" t="s">
        <v>311</v>
      </c>
      <c r="B11" s="185"/>
      <c r="E11" s="138"/>
      <c r="F11" s="138"/>
      <c r="P11" s="137"/>
      <c r="Q11" s="137"/>
      <c r="R11" s="137"/>
    </row>
    <row r="12" spans="1:18" x14ac:dyDescent="0.25">
      <c r="A12" s="154" t="s">
        <v>312</v>
      </c>
      <c r="B12" s="186"/>
      <c r="D12">
        <f>B13*1.2</f>
        <v>0</v>
      </c>
      <c r="E12" s="138"/>
      <c r="F12" s="138"/>
      <c r="P12" s="137"/>
      <c r="Q12" s="137"/>
      <c r="R12" s="137"/>
    </row>
    <row r="13" spans="1:18" x14ac:dyDescent="0.25">
      <c r="A13" s="154" t="s">
        <v>332</v>
      </c>
      <c r="B13" s="186"/>
      <c r="D13">
        <f>B14*1.2</f>
        <v>0</v>
      </c>
      <c r="E13" s="138"/>
      <c r="F13" s="138"/>
      <c r="P13" s="137"/>
      <c r="Q13" s="137"/>
      <c r="R13" s="137"/>
    </row>
    <row r="14" spans="1:18" ht="15.75" thickBot="1" x14ac:dyDescent="0.3">
      <c r="A14" s="155" t="s">
        <v>313</v>
      </c>
      <c r="B14" s="187"/>
      <c r="E14" s="138"/>
      <c r="F14" s="138"/>
      <c r="P14" s="137"/>
      <c r="Q14" s="137"/>
      <c r="R14" s="137"/>
    </row>
    <row r="15" spans="1:18" x14ac:dyDescent="0.25">
      <c r="E15" s="138"/>
      <c r="F15" s="138"/>
      <c r="P15" s="137"/>
      <c r="Q15" s="137"/>
      <c r="R15" s="137"/>
    </row>
    <row r="16" spans="1:18" x14ac:dyDescent="0.25">
      <c r="C16" s="150"/>
    </row>
    <row r="17" spans="3:3" x14ac:dyDescent="0.25">
      <c r="C17" s="150"/>
    </row>
    <row r="18" spans="3:3" x14ac:dyDescent="0.25">
      <c r="C18" s="150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zoomScaleNormal="100" workbookViewId="0">
      <selection activeCell="B2" sqref="B2:C20"/>
    </sheetView>
  </sheetViews>
  <sheetFormatPr baseColWidth="10" defaultRowHeight="15" x14ac:dyDescent="0.25"/>
  <cols>
    <col min="1" max="1" width="15.42578125" customWidth="1"/>
    <col min="2" max="2" width="14.7109375" style="140" customWidth="1"/>
    <col min="3" max="3" width="15.42578125" style="140" customWidth="1"/>
    <col min="6" max="6" width="19" customWidth="1"/>
    <col min="7" max="7" width="18.140625" customWidth="1"/>
    <col min="8" max="8" width="19" customWidth="1"/>
    <col min="9" max="9" width="21.42578125" customWidth="1"/>
    <col min="11" max="11" width="16" customWidth="1"/>
    <col min="14" max="14" width="24" customWidth="1"/>
    <col min="15" max="16" width="13.85546875" customWidth="1"/>
    <col min="17" max="17" width="21.140625" customWidth="1"/>
  </cols>
  <sheetData>
    <row r="1" spans="1:17" ht="15.75" thickBot="1" x14ac:dyDescent="0.3">
      <c r="A1" s="3" t="s">
        <v>0</v>
      </c>
      <c r="B1" s="148">
        <v>1</v>
      </c>
      <c r="C1" s="149">
        <v>2</v>
      </c>
      <c r="F1" s="202" t="s">
        <v>160</v>
      </c>
      <c r="G1" s="203"/>
      <c r="H1" s="203"/>
      <c r="I1" s="203"/>
      <c r="J1" s="203"/>
      <c r="K1" s="203"/>
      <c r="L1" s="203"/>
      <c r="N1" s="199" t="s">
        <v>77</v>
      </c>
      <c r="O1" s="200"/>
      <c r="P1" s="200"/>
      <c r="Q1" s="201"/>
    </row>
    <row r="2" spans="1:17" ht="15.75" thickBot="1" x14ac:dyDescent="0.3">
      <c r="A2" s="3" t="s">
        <v>41</v>
      </c>
      <c r="B2" s="9"/>
      <c r="C2" s="9"/>
      <c r="F2" s="65"/>
      <c r="G2" s="66"/>
      <c r="H2" s="66"/>
      <c r="I2" s="66"/>
      <c r="J2" s="66"/>
      <c r="K2" s="66"/>
      <c r="L2" s="66"/>
      <c r="N2" s="26" t="s">
        <v>78</v>
      </c>
      <c r="O2" s="27" t="s">
        <v>79</v>
      </c>
      <c r="P2" s="27" t="s">
        <v>80</v>
      </c>
      <c r="Q2" s="28" t="s">
        <v>81</v>
      </c>
    </row>
    <row r="3" spans="1:17" ht="15.75" thickBot="1" x14ac:dyDescent="0.3">
      <c r="A3" s="3" t="s">
        <v>40</v>
      </c>
      <c r="B3" s="6"/>
      <c r="C3" s="6"/>
      <c r="N3" s="128" t="s">
        <v>82</v>
      </c>
      <c r="O3" s="10" t="s">
        <v>83</v>
      </c>
      <c r="P3" s="10" t="s">
        <v>84</v>
      </c>
      <c r="Q3" s="11" t="s">
        <v>53</v>
      </c>
    </row>
    <row r="4" spans="1:17" ht="15.75" thickBot="1" x14ac:dyDescent="0.3">
      <c r="A4" s="3" t="s">
        <v>25</v>
      </c>
      <c r="B4" s="9"/>
      <c r="C4" s="9"/>
      <c r="F4" s="115" t="s">
        <v>161</v>
      </c>
      <c r="G4" s="115" t="s">
        <v>162</v>
      </c>
      <c r="H4" s="117" t="s">
        <v>163</v>
      </c>
      <c r="I4" s="119" t="s">
        <v>164</v>
      </c>
      <c r="J4" s="121" t="s">
        <v>165</v>
      </c>
      <c r="K4" s="123" t="s">
        <v>166</v>
      </c>
      <c r="L4" s="123" t="s">
        <v>167</v>
      </c>
      <c r="N4" s="129"/>
      <c r="O4" s="12"/>
      <c r="P4" s="12" t="s">
        <v>85</v>
      </c>
      <c r="Q4" s="13" t="s">
        <v>52</v>
      </c>
    </row>
    <row r="5" spans="1:17" ht="14.25" customHeight="1" thickBot="1" x14ac:dyDescent="0.3">
      <c r="A5" s="3" t="s">
        <v>26</v>
      </c>
      <c r="B5" s="9"/>
      <c r="C5" s="9"/>
      <c r="F5" s="116"/>
      <c r="G5" s="116"/>
      <c r="H5" s="118"/>
      <c r="I5" s="120"/>
      <c r="J5" s="122"/>
      <c r="K5" s="124"/>
      <c r="L5" s="124"/>
      <c r="N5" s="128" t="s">
        <v>86</v>
      </c>
      <c r="O5" s="10" t="s">
        <v>87</v>
      </c>
      <c r="P5" s="10" t="s">
        <v>88</v>
      </c>
      <c r="Q5" s="11" t="s">
        <v>51</v>
      </c>
    </row>
    <row r="6" spans="1:17" ht="15.75" thickBot="1" x14ac:dyDescent="0.3">
      <c r="A6" s="3" t="s">
        <v>27</v>
      </c>
      <c r="B6" s="9"/>
      <c r="C6" s="9"/>
      <c r="F6" s="68" t="s">
        <v>168</v>
      </c>
      <c r="G6" s="68"/>
      <c r="H6" s="68"/>
      <c r="I6" s="69"/>
      <c r="J6" s="70"/>
      <c r="K6" s="68"/>
      <c r="L6" s="68"/>
      <c r="N6" s="129"/>
      <c r="O6" s="12"/>
      <c r="P6" s="12" t="s">
        <v>89</v>
      </c>
      <c r="Q6" s="13" t="s">
        <v>52</v>
      </c>
    </row>
    <row r="7" spans="1:17" ht="15.75" thickBot="1" x14ac:dyDescent="0.3">
      <c r="A7" s="3" t="s">
        <v>28</v>
      </c>
      <c r="B7" s="9"/>
      <c r="C7" s="9"/>
      <c r="F7" s="71" t="s">
        <v>169</v>
      </c>
      <c r="G7" s="68"/>
      <c r="H7" s="68"/>
      <c r="I7" s="69"/>
      <c r="J7" s="70"/>
      <c r="K7" s="72"/>
      <c r="L7" s="68"/>
      <c r="N7" s="29" t="s">
        <v>95</v>
      </c>
      <c r="O7" s="14" t="s">
        <v>96</v>
      </c>
      <c r="P7" s="14" t="s">
        <v>97</v>
      </c>
      <c r="Q7" s="15" t="s">
        <v>51</v>
      </c>
    </row>
    <row r="8" spans="1:17" x14ac:dyDescent="0.25">
      <c r="A8" s="3" t="s">
        <v>29</v>
      </c>
      <c r="B8" s="9"/>
      <c r="C8" s="9"/>
      <c r="F8" s="73" t="s">
        <v>170</v>
      </c>
      <c r="G8" s="68" t="s">
        <v>8</v>
      </c>
      <c r="H8" s="38" t="s">
        <v>171</v>
      </c>
      <c r="I8" s="39" t="s">
        <v>172</v>
      </c>
      <c r="J8" s="40" t="s">
        <v>173</v>
      </c>
      <c r="K8" s="74"/>
      <c r="L8" s="75"/>
      <c r="N8" s="126" t="s">
        <v>98</v>
      </c>
      <c r="O8" s="16"/>
      <c r="P8" s="10" t="s">
        <v>99</v>
      </c>
      <c r="Q8" s="11" t="s">
        <v>51</v>
      </c>
    </row>
    <row r="9" spans="1:17" ht="15.75" thickBot="1" x14ac:dyDescent="0.3">
      <c r="A9" s="3" t="s">
        <v>30</v>
      </c>
      <c r="B9" s="9"/>
      <c r="C9" s="9"/>
      <c r="F9" s="79" t="s">
        <v>217</v>
      </c>
      <c r="G9" s="71" t="s">
        <v>176</v>
      </c>
      <c r="H9" s="41" t="s">
        <v>218</v>
      </c>
      <c r="I9" s="42" t="s">
        <v>219</v>
      </c>
      <c r="J9" s="43" t="s">
        <v>220</v>
      </c>
      <c r="K9" s="77"/>
      <c r="L9" s="78"/>
      <c r="N9" s="127"/>
      <c r="O9" s="25"/>
      <c r="P9" s="12" t="s">
        <v>93</v>
      </c>
      <c r="Q9" s="13" t="s">
        <v>53</v>
      </c>
    </row>
    <row r="10" spans="1:17" x14ac:dyDescent="0.25">
      <c r="A10" s="3" t="s">
        <v>31</v>
      </c>
      <c r="B10" s="9"/>
      <c r="C10" s="9"/>
      <c r="F10" s="76" t="s">
        <v>124</v>
      </c>
      <c r="G10" s="71" t="s">
        <v>176</v>
      </c>
      <c r="H10" s="41" t="s">
        <v>180</v>
      </c>
      <c r="I10" s="42" t="s">
        <v>181</v>
      </c>
      <c r="J10" s="43" t="s">
        <v>182</v>
      </c>
      <c r="K10" s="77"/>
      <c r="L10" s="78"/>
      <c r="N10" s="128" t="s">
        <v>90</v>
      </c>
      <c r="O10" s="10" t="s">
        <v>91</v>
      </c>
      <c r="P10" s="10" t="s">
        <v>92</v>
      </c>
      <c r="Q10" s="11" t="s">
        <v>51</v>
      </c>
    </row>
    <row r="11" spans="1:17" ht="15.75" thickBot="1" x14ac:dyDescent="0.3">
      <c r="A11" s="3" t="s">
        <v>32</v>
      </c>
      <c r="B11" s="9"/>
      <c r="C11" s="9"/>
      <c r="F11" s="79" t="s">
        <v>145</v>
      </c>
      <c r="G11" s="81" t="s">
        <v>67</v>
      </c>
      <c r="H11" s="41" t="s">
        <v>199</v>
      </c>
      <c r="I11" s="42" t="s">
        <v>200</v>
      </c>
      <c r="J11" s="43" t="s">
        <v>201</v>
      </c>
      <c r="K11" s="77"/>
      <c r="L11" s="78"/>
      <c r="N11" s="129"/>
      <c r="O11" s="25"/>
      <c r="P11" s="12" t="s">
        <v>93</v>
      </c>
      <c r="Q11" s="13" t="s">
        <v>94</v>
      </c>
    </row>
    <row r="12" spans="1:17" ht="15.75" thickBot="1" x14ac:dyDescent="0.3">
      <c r="A12" s="3" t="s">
        <v>33</v>
      </c>
      <c r="B12" s="9"/>
      <c r="C12" s="9"/>
      <c r="F12" s="76" t="s">
        <v>143</v>
      </c>
      <c r="G12" s="71" t="s">
        <v>67</v>
      </c>
      <c r="H12" s="41" t="s">
        <v>192</v>
      </c>
      <c r="I12" s="42" t="s">
        <v>193</v>
      </c>
      <c r="J12" s="43" t="s">
        <v>194</v>
      </c>
      <c r="K12" s="77"/>
      <c r="L12" s="78"/>
      <c r="N12" s="30" t="s">
        <v>100</v>
      </c>
      <c r="O12" s="17" t="s">
        <v>101</v>
      </c>
      <c r="P12" s="14" t="s">
        <v>102</v>
      </c>
      <c r="Q12" s="15" t="s">
        <v>59</v>
      </c>
    </row>
    <row r="13" spans="1:17" x14ac:dyDescent="0.25">
      <c r="A13" s="3" t="s">
        <v>34</v>
      </c>
      <c r="B13" s="9"/>
      <c r="C13" s="9"/>
      <c r="F13" s="76" t="s">
        <v>14</v>
      </c>
      <c r="G13" s="71" t="s">
        <v>176</v>
      </c>
      <c r="H13" s="41" t="s">
        <v>177</v>
      </c>
      <c r="I13" s="42" t="s">
        <v>178</v>
      </c>
      <c r="J13" s="43" t="s">
        <v>179</v>
      </c>
      <c r="K13" s="77"/>
      <c r="L13" s="78"/>
      <c r="N13" s="126" t="s">
        <v>103</v>
      </c>
      <c r="O13" s="16" t="s">
        <v>104</v>
      </c>
      <c r="P13" s="18" t="s">
        <v>88</v>
      </c>
      <c r="Q13" s="19" t="s">
        <v>56</v>
      </c>
    </row>
    <row r="14" spans="1:17" ht="15.75" thickBot="1" x14ac:dyDescent="0.3">
      <c r="A14" s="3" t="s">
        <v>35</v>
      </c>
      <c r="B14" s="9"/>
      <c r="C14" s="9"/>
      <c r="F14" s="76" t="s">
        <v>141</v>
      </c>
      <c r="G14" s="71" t="s">
        <v>176</v>
      </c>
      <c r="H14" s="41" t="s">
        <v>183</v>
      </c>
      <c r="I14" s="42" t="s">
        <v>184</v>
      </c>
      <c r="J14" s="43" t="s">
        <v>185</v>
      </c>
      <c r="K14" s="77"/>
      <c r="L14" s="78"/>
      <c r="N14" s="127"/>
      <c r="O14" s="22"/>
      <c r="P14" s="20" t="s">
        <v>105</v>
      </c>
      <c r="Q14" s="21" t="s">
        <v>55</v>
      </c>
    </row>
    <row r="15" spans="1:17" x14ac:dyDescent="0.25">
      <c r="A15" s="3" t="s">
        <v>36</v>
      </c>
      <c r="B15" s="9"/>
      <c r="C15" s="9"/>
      <c r="F15" s="76" t="s">
        <v>195</v>
      </c>
      <c r="G15" s="71" t="s">
        <v>67</v>
      </c>
      <c r="H15" s="41" t="s">
        <v>196</v>
      </c>
      <c r="I15" s="42" t="s">
        <v>197</v>
      </c>
      <c r="J15" s="43" t="s">
        <v>198</v>
      </c>
      <c r="K15" s="77"/>
      <c r="L15" s="78"/>
      <c r="N15" s="126" t="s">
        <v>106</v>
      </c>
      <c r="O15" s="16" t="s">
        <v>107</v>
      </c>
      <c r="P15" s="18" t="s">
        <v>108</v>
      </c>
      <c r="Q15" s="19" t="s">
        <v>58</v>
      </c>
    </row>
    <row r="16" spans="1:17" ht="15.75" thickBot="1" x14ac:dyDescent="0.3">
      <c r="A16" s="3" t="s">
        <v>37</v>
      </c>
      <c r="B16" s="9"/>
      <c r="C16" s="9"/>
      <c r="F16" s="79" t="s">
        <v>186</v>
      </c>
      <c r="G16" s="71" t="s">
        <v>176</v>
      </c>
      <c r="H16" s="41" t="s">
        <v>187</v>
      </c>
      <c r="I16" s="42">
        <v>0.5</v>
      </c>
      <c r="J16" s="43" t="s">
        <v>188</v>
      </c>
      <c r="K16" s="77"/>
      <c r="L16" s="78"/>
      <c r="N16" s="127"/>
      <c r="O16" s="22"/>
      <c r="P16" s="20" t="s">
        <v>105</v>
      </c>
      <c r="Q16" s="21" t="s">
        <v>50</v>
      </c>
    </row>
    <row r="17" spans="1:17" x14ac:dyDescent="0.25">
      <c r="A17" s="3" t="s">
        <v>38</v>
      </c>
      <c r="B17" s="9"/>
      <c r="C17" s="9"/>
      <c r="F17" s="76" t="s">
        <v>13</v>
      </c>
      <c r="G17" s="71" t="s">
        <v>67</v>
      </c>
      <c r="H17" s="41" t="s">
        <v>174</v>
      </c>
      <c r="I17" s="42" t="s">
        <v>175</v>
      </c>
      <c r="J17" s="43" t="s">
        <v>88</v>
      </c>
      <c r="K17" s="77"/>
      <c r="L17" s="78"/>
      <c r="N17" s="126" t="s">
        <v>109</v>
      </c>
      <c r="O17" s="23" t="s">
        <v>110</v>
      </c>
      <c r="P17" s="18" t="s">
        <v>99</v>
      </c>
      <c r="Q17" s="19" t="s">
        <v>58</v>
      </c>
    </row>
    <row r="18" spans="1:17" ht="15.75" thickBot="1" x14ac:dyDescent="0.3">
      <c r="A18" s="3" t="s">
        <v>337</v>
      </c>
      <c r="B18" s="6"/>
      <c r="C18" s="6"/>
      <c r="F18" s="79" t="s">
        <v>123</v>
      </c>
      <c r="G18" s="80" t="s">
        <v>67</v>
      </c>
      <c r="H18" s="41" t="s">
        <v>189</v>
      </c>
      <c r="I18" s="42" t="s">
        <v>190</v>
      </c>
      <c r="J18" s="43" t="s">
        <v>191</v>
      </c>
      <c r="K18" s="77"/>
      <c r="L18" s="78"/>
      <c r="N18" s="127"/>
      <c r="O18" s="24"/>
      <c r="P18" s="20" t="s">
        <v>111</v>
      </c>
      <c r="Q18" s="21" t="s">
        <v>55</v>
      </c>
    </row>
    <row r="19" spans="1:17" x14ac:dyDescent="0.25">
      <c r="A19" s="3" t="s">
        <v>39</v>
      </c>
      <c r="B19" s="9"/>
      <c r="C19" s="9"/>
      <c r="F19" s="79" t="s">
        <v>144</v>
      </c>
      <c r="G19" s="80" t="s">
        <v>67</v>
      </c>
      <c r="H19" s="41" t="s">
        <v>199</v>
      </c>
      <c r="I19" s="42" t="s">
        <v>202</v>
      </c>
      <c r="J19" s="43" t="s">
        <v>203</v>
      </c>
      <c r="K19" s="77"/>
      <c r="L19" s="78"/>
      <c r="N19" s="125" t="s">
        <v>273</v>
      </c>
      <c r="O19" s="125"/>
      <c r="P19" s="125"/>
      <c r="Q19" s="125"/>
    </row>
    <row r="20" spans="1:17" x14ac:dyDescent="0.25">
      <c r="A20" s="3" t="s">
        <v>148</v>
      </c>
      <c r="B20" s="9"/>
      <c r="C20" s="9"/>
      <c r="F20" s="79" t="s">
        <v>142</v>
      </c>
      <c r="G20" s="80" t="s">
        <v>67</v>
      </c>
      <c r="H20" s="41" t="s">
        <v>204</v>
      </c>
      <c r="I20" s="42" t="s">
        <v>205</v>
      </c>
      <c r="J20" s="43" t="s">
        <v>206</v>
      </c>
      <c r="K20" s="77"/>
      <c r="L20" s="78"/>
    </row>
    <row r="21" spans="1:17" x14ac:dyDescent="0.25">
      <c r="A21" s="3" t="s">
        <v>82</v>
      </c>
      <c r="B21" s="6" t="e">
        <f>B10/B14</f>
        <v>#DIV/0!</v>
      </c>
      <c r="C21" s="6" t="e">
        <f>C10/C14</f>
        <v>#DIV/0!</v>
      </c>
      <c r="F21" s="79" t="s">
        <v>207</v>
      </c>
      <c r="G21" s="71" t="s">
        <v>176</v>
      </c>
      <c r="H21" s="44" t="s">
        <v>208</v>
      </c>
      <c r="I21" s="45">
        <v>0.1</v>
      </c>
      <c r="J21" s="46" t="s">
        <v>209</v>
      </c>
      <c r="K21" s="77"/>
      <c r="L21" s="78"/>
    </row>
    <row r="22" spans="1:17" x14ac:dyDescent="0.25">
      <c r="A22" s="3" t="s">
        <v>86</v>
      </c>
      <c r="B22" s="6" t="e">
        <f>B14/B13</f>
        <v>#DIV/0!</v>
      </c>
      <c r="C22" s="6" t="e">
        <f>C14/C13</f>
        <v>#DIV/0!</v>
      </c>
      <c r="F22" s="82" t="s">
        <v>210</v>
      </c>
      <c r="G22" s="71" t="s">
        <v>176</v>
      </c>
      <c r="H22" s="41" t="s">
        <v>199</v>
      </c>
      <c r="I22" s="42" t="s">
        <v>211</v>
      </c>
      <c r="J22" s="47" t="s">
        <v>212</v>
      </c>
      <c r="K22" s="77"/>
      <c r="L22" s="78"/>
    </row>
    <row r="23" spans="1:17" x14ac:dyDescent="0.25">
      <c r="A23" s="3" t="s">
        <v>95</v>
      </c>
      <c r="B23" s="6" t="e">
        <f>B16/B13</f>
        <v>#DIV/0!</v>
      </c>
      <c r="C23" s="6" t="e">
        <f>C16/C13</f>
        <v>#DIV/0!</v>
      </c>
      <c r="F23" s="82" t="s">
        <v>213</v>
      </c>
      <c r="G23" s="80" t="s">
        <v>67</v>
      </c>
      <c r="H23" s="44" t="s">
        <v>214</v>
      </c>
      <c r="I23" s="48" t="s">
        <v>215</v>
      </c>
      <c r="J23" s="49" t="s">
        <v>216</v>
      </c>
      <c r="K23" s="77"/>
      <c r="L23" s="78"/>
    </row>
    <row r="24" spans="1:17" ht="15.75" thickBot="1" x14ac:dyDescent="0.3">
      <c r="A24" s="3" t="s">
        <v>98</v>
      </c>
      <c r="B24" s="6" t="e">
        <f>B10/B13</f>
        <v>#DIV/0!</v>
      </c>
      <c r="C24" s="6" t="e">
        <f>C10/C13</f>
        <v>#DIV/0!</v>
      </c>
      <c r="F24" s="83" t="s">
        <v>221</v>
      </c>
      <c r="G24" s="84" t="s">
        <v>222</v>
      </c>
      <c r="H24" s="50" t="s">
        <v>171</v>
      </c>
      <c r="I24" s="51" t="s">
        <v>172</v>
      </c>
      <c r="J24" s="52" t="s">
        <v>173</v>
      </c>
      <c r="K24" s="25"/>
      <c r="L24" s="25"/>
    </row>
    <row r="25" spans="1:17" ht="15" customHeight="1" x14ac:dyDescent="0.25">
      <c r="A25" s="3" t="s">
        <v>90</v>
      </c>
      <c r="B25" s="6" t="e">
        <f>(B10+B14)/B13</f>
        <v>#DIV/0!</v>
      </c>
      <c r="C25" s="6" t="e">
        <f>(C10+C14)/C13</f>
        <v>#DIV/0!</v>
      </c>
      <c r="F25" s="61" t="s">
        <v>82</v>
      </c>
      <c r="G25" s="53"/>
      <c r="H25" s="54" t="s">
        <v>223</v>
      </c>
      <c r="I25" s="55" t="s">
        <v>224</v>
      </c>
      <c r="J25" s="43" t="s">
        <v>225</v>
      </c>
      <c r="K25" s="67"/>
      <c r="L25" s="67"/>
    </row>
    <row r="26" spans="1:17" x14ac:dyDescent="0.25">
      <c r="A26" s="3" t="s">
        <v>103</v>
      </c>
      <c r="B26" s="6" t="e">
        <f>B12/B15</f>
        <v>#DIV/0!</v>
      </c>
      <c r="C26" s="6" t="e">
        <f>C12/C15</f>
        <v>#DIV/0!</v>
      </c>
    </row>
    <row r="27" spans="1:17" x14ac:dyDescent="0.25">
      <c r="A27" s="3" t="s">
        <v>106</v>
      </c>
      <c r="B27" s="6" t="e">
        <f>B17/B19</f>
        <v>#DIV/0!</v>
      </c>
      <c r="C27" s="6" t="e">
        <f>C17/C19</f>
        <v>#DIV/0!</v>
      </c>
    </row>
    <row r="28" spans="1:17" x14ac:dyDescent="0.25">
      <c r="A28" s="3" t="s">
        <v>109</v>
      </c>
      <c r="B28" s="6" t="e">
        <f>B12/B19</f>
        <v>#DIV/0!</v>
      </c>
      <c r="C28" s="6" t="e">
        <f>C12/C19</f>
        <v>#DIV/0!</v>
      </c>
    </row>
    <row r="29" spans="1:17" x14ac:dyDescent="0.25">
      <c r="A29" s="3" t="s">
        <v>147</v>
      </c>
      <c r="B29" s="6" t="e">
        <f>B13/B14</f>
        <v>#DIV/0!</v>
      </c>
      <c r="C29" s="6" t="e">
        <f>C13/C14</f>
        <v>#DIV/0!</v>
      </c>
    </row>
    <row r="30" spans="1:17" ht="15.75" thickBot="1" x14ac:dyDescent="0.3">
      <c r="F30" s="204" t="s">
        <v>226</v>
      </c>
      <c r="G30" s="205"/>
      <c r="H30" s="205"/>
      <c r="I30" s="205"/>
      <c r="J30" s="205"/>
    </row>
    <row r="31" spans="1:17" ht="15.75" thickBot="1" x14ac:dyDescent="0.3">
      <c r="F31" s="206" t="s">
        <v>168</v>
      </c>
      <c r="G31" s="207"/>
      <c r="H31" s="208"/>
      <c r="I31" s="209" t="s">
        <v>167</v>
      </c>
      <c r="J31" s="210"/>
    </row>
    <row r="32" spans="1:17" x14ac:dyDescent="0.25">
      <c r="B32" s="140">
        <v>44.407746485663679</v>
      </c>
      <c r="C32" s="140">
        <v>66.367487479261001</v>
      </c>
      <c r="F32" s="56">
        <v>1</v>
      </c>
      <c r="G32" s="57" t="s">
        <v>227</v>
      </c>
      <c r="H32" s="58" t="s">
        <v>228</v>
      </c>
      <c r="I32" s="211" t="s">
        <v>229</v>
      </c>
      <c r="J32" s="212"/>
    </row>
    <row r="33" spans="6:12" x14ac:dyDescent="0.25">
      <c r="F33" s="59">
        <v>2</v>
      </c>
      <c r="G33" s="60" t="s">
        <v>230</v>
      </c>
      <c r="H33" s="61" t="s">
        <v>231</v>
      </c>
      <c r="I33" s="213" t="s">
        <v>232</v>
      </c>
      <c r="J33" s="214"/>
    </row>
    <row r="34" spans="6:12" x14ac:dyDescent="0.25">
      <c r="F34" s="59">
        <v>3</v>
      </c>
      <c r="G34" s="60" t="s">
        <v>233</v>
      </c>
      <c r="H34" s="61" t="s">
        <v>234</v>
      </c>
      <c r="I34" s="213" t="s">
        <v>235</v>
      </c>
      <c r="J34" s="214"/>
    </row>
    <row r="35" spans="6:12" x14ac:dyDescent="0.25">
      <c r="F35" s="59">
        <v>4</v>
      </c>
      <c r="G35" s="60" t="s">
        <v>236</v>
      </c>
      <c r="H35" s="61" t="s">
        <v>237</v>
      </c>
      <c r="I35" s="213" t="s">
        <v>238</v>
      </c>
      <c r="J35" s="214"/>
    </row>
    <row r="36" spans="6:12" x14ac:dyDescent="0.25">
      <c r="F36" s="59">
        <v>5</v>
      </c>
      <c r="G36" s="60" t="s">
        <v>239</v>
      </c>
      <c r="H36" s="61" t="s">
        <v>240</v>
      </c>
      <c r="I36" s="213" t="s">
        <v>241</v>
      </c>
      <c r="J36" s="214"/>
    </row>
    <row r="37" spans="6:12" x14ac:dyDescent="0.25">
      <c r="F37" s="59">
        <v>6</v>
      </c>
      <c r="G37" s="60" t="s">
        <v>242</v>
      </c>
      <c r="H37" s="61" t="s">
        <v>243</v>
      </c>
      <c r="I37" s="213" t="s">
        <v>244</v>
      </c>
      <c r="J37" s="214"/>
    </row>
    <row r="38" spans="6:12" x14ac:dyDescent="0.25">
      <c r="F38" s="59">
        <v>7</v>
      </c>
      <c r="G38" s="60" t="s">
        <v>245</v>
      </c>
      <c r="H38" s="61" t="s">
        <v>246</v>
      </c>
      <c r="I38" s="213" t="s">
        <v>247</v>
      </c>
      <c r="J38" s="214"/>
    </row>
    <row r="39" spans="6:12" x14ac:dyDescent="0.25">
      <c r="F39" s="59">
        <v>8</v>
      </c>
      <c r="G39" s="60" t="s">
        <v>248</v>
      </c>
      <c r="H39" s="61" t="s">
        <v>249</v>
      </c>
      <c r="I39" s="213" t="s">
        <v>250</v>
      </c>
      <c r="J39" s="214"/>
    </row>
    <row r="40" spans="6:12" x14ac:dyDescent="0.25">
      <c r="F40" s="59">
        <v>9</v>
      </c>
      <c r="G40" s="60" t="s">
        <v>251</v>
      </c>
      <c r="H40" s="61" t="s">
        <v>252</v>
      </c>
      <c r="I40" s="213" t="s">
        <v>253</v>
      </c>
      <c r="J40" s="214"/>
    </row>
    <row r="41" spans="6:12" x14ac:dyDescent="0.25">
      <c r="F41" s="59">
        <v>10</v>
      </c>
      <c r="G41" s="60" t="s">
        <v>254</v>
      </c>
      <c r="H41" s="61" t="s">
        <v>255</v>
      </c>
      <c r="I41" s="213" t="s">
        <v>256</v>
      </c>
      <c r="J41" s="214"/>
    </row>
    <row r="42" spans="6:12" x14ac:dyDescent="0.25">
      <c r="F42" s="59">
        <v>11</v>
      </c>
      <c r="G42" s="60" t="s">
        <v>257</v>
      </c>
      <c r="H42" s="61" t="s">
        <v>258</v>
      </c>
      <c r="I42" s="213" t="s">
        <v>259</v>
      </c>
      <c r="J42" s="214"/>
    </row>
    <row r="43" spans="6:12" ht="15.75" thickBot="1" x14ac:dyDescent="0.3">
      <c r="F43" s="62">
        <v>12</v>
      </c>
      <c r="G43" s="63" t="s">
        <v>260</v>
      </c>
      <c r="H43" s="64" t="s">
        <v>261</v>
      </c>
      <c r="I43" s="215" t="s">
        <v>262</v>
      </c>
      <c r="J43" s="216"/>
    </row>
    <row r="44" spans="6:12" ht="15.75" thickBot="1" x14ac:dyDescent="0.3">
      <c r="H44" s="67"/>
      <c r="I44" s="67"/>
      <c r="J44" s="67"/>
    </row>
    <row r="45" spans="6:12" x14ac:dyDescent="0.25">
      <c r="F45" s="107" t="s">
        <v>24</v>
      </c>
      <c r="G45" s="85" t="s">
        <v>263</v>
      </c>
      <c r="H45" s="86"/>
      <c r="I45" s="87"/>
      <c r="J45" s="67"/>
      <c r="K45" s="67"/>
      <c r="L45" s="67"/>
    </row>
    <row r="46" spans="6:12" x14ac:dyDescent="0.25">
      <c r="F46" s="108"/>
      <c r="G46" s="110" t="s">
        <v>264</v>
      </c>
      <c r="H46" s="111"/>
      <c r="I46" s="112"/>
      <c r="J46" s="67"/>
      <c r="K46" s="67"/>
      <c r="L46" s="67"/>
    </row>
    <row r="47" spans="6:12" x14ac:dyDescent="0.25">
      <c r="F47" s="108"/>
      <c r="G47" s="88" t="s">
        <v>265</v>
      </c>
      <c r="H47" s="113"/>
      <c r="I47" s="114"/>
      <c r="J47" s="67"/>
      <c r="K47" s="67"/>
      <c r="L47" s="67"/>
    </row>
    <row r="48" spans="6:12" x14ac:dyDescent="0.25">
      <c r="F48" s="108"/>
      <c r="G48" s="88" t="s">
        <v>266</v>
      </c>
      <c r="H48" s="113"/>
      <c r="I48" s="114"/>
      <c r="J48" s="67"/>
      <c r="K48" s="67"/>
      <c r="L48" s="67"/>
    </row>
    <row r="49" spans="6:12" x14ac:dyDescent="0.25">
      <c r="F49" s="108"/>
      <c r="G49" s="88" t="s">
        <v>267</v>
      </c>
      <c r="H49" s="89"/>
      <c r="I49" s="90"/>
      <c r="J49" s="67"/>
      <c r="K49" s="67"/>
      <c r="L49" s="67"/>
    </row>
    <row r="50" spans="6:12" x14ac:dyDescent="0.25">
      <c r="F50" s="108"/>
      <c r="G50" s="91" t="s">
        <v>268</v>
      </c>
      <c r="H50" s="92"/>
      <c r="I50" s="93"/>
      <c r="J50" s="67"/>
      <c r="K50" s="67"/>
      <c r="L50" s="67"/>
    </row>
    <row r="51" spans="6:12" x14ac:dyDescent="0.25">
      <c r="F51" s="108"/>
      <c r="G51" s="91" t="s">
        <v>269</v>
      </c>
      <c r="H51" s="92"/>
      <c r="I51" s="93"/>
      <c r="J51" s="67"/>
      <c r="K51" s="67"/>
      <c r="L51" s="67"/>
    </row>
    <row r="52" spans="6:12" ht="15.75" thickBot="1" x14ac:dyDescent="0.3">
      <c r="F52" s="109"/>
      <c r="G52" s="94" t="s">
        <v>270</v>
      </c>
      <c r="H52" s="95"/>
      <c r="I52" s="96"/>
      <c r="J52" s="67"/>
      <c r="K52" s="67"/>
      <c r="L52" s="67"/>
    </row>
    <row r="53" spans="6:12" x14ac:dyDescent="0.25">
      <c r="K53" s="67"/>
      <c r="L53" s="67"/>
    </row>
    <row r="54" spans="6:12" x14ac:dyDescent="0.25">
      <c r="K54" s="67"/>
      <c r="L54" s="67"/>
    </row>
    <row r="55" spans="6:12" x14ac:dyDescent="0.25">
      <c r="K55" s="67"/>
      <c r="L55" s="67"/>
    </row>
    <row r="56" spans="6:12" x14ac:dyDescent="0.25">
      <c r="K56" s="67"/>
      <c r="L56" s="67"/>
    </row>
    <row r="57" spans="6:12" x14ac:dyDescent="0.25">
      <c r="K57" s="67"/>
      <c r="L57" s="67"/>
    </row>
    <row r="58" spans="6:12" x14ac:dyDescent="0.25">
      <c r="K58" s="67"/>
      <c r="L58" s="67"/>
    </row>
    <row r="59" spans="6:12" x14ac:dyDescent="0.25">
      <c r="K59" s="67"/>
      <c r="L59" s="67"/>
    </row>
    <row r="60" spans="6:12" x14ac:dyDescent="0.25">
      <c r="K60" s="67"/>
      <c r="L60" s="67"/>
    </row>
    <row r="61" spans="6:12" x14ac:dyDescent="0.25">
      <c r="K61" s="67"/>
      <c r="L61" s="67"/>
    </row>
    <row r="62" spans="6:12" x14ac:dyDescent="0.25">
      <c r="K62" s="67"/>
      <c r="L62" s="67"/>
    </row>
    <row r="63" spans="6:12" x14ac:dyDescent="0.25">
      <c r="K63" s="67"/>
      <c r="L63" s="67"/>
    </row>
    <row r="64" spans="6:12" x14ac:dyDescent="0.25">
      <c r="K64" s="67"/>
      <c r="L64" s="67"/>
    </row>
    <row r="65" spans="11:12" x14ac:dyDescent="0.25">
      <c r="K65" s="67"/>
      <c r="L65" s="67"/>
    </row>
    <row r="66" spans="11:12" x14ac:dyDescent="0.25">
      <c r="K66" s="67"/>
      <c r="L66" s="67"/>
    </row>
    <row r="67" spans="11:12" x14ac:dyDescent="0.25">
      <c r="K67" s="67"/>
      <c r="L67" s="67"/>
    </row>
    <row r="68" spans="11:12" x14ac:dyDescent="0.25">
      <c r="K68" s="67"/>
      <c r="L68" s="67"/>
    </row>
    <row r="69" spans="11:12" x14ac:dyDescent="0.25">
      <c r="K69" s="67"/>
      <c r="L69" s="67"/>
    </row>
  </sheetData>
  <mergeCells count="17">
    <mergeCell ref="I42:J42"/>
    <mergeCell ref="I43:J43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N1:Q1"/>
    <mergeCell ref="F1:L1"/>
    <mergeCell ref="F30:J30"/>
    <mergeCell ref="F31:H31"/>
    <mergeCell ref="I31:J31"/>
  </mergeCells>
  <conditionalFormatting sqref="B8:C8">
    <cfRule type="cellIs" dxfId="38" priority="39" operator="lessThanOrEqual">
      <formula>2</formula>
    </cfRule>
    <cfRule type="cellIs" dxfId="37" priority="38" operator="between">
      <formula>2</formula>
      <formula>4</formula>
    </cfRule>
    <cfRule type="cellIs" dxfId="36" priority="37" operator="greaterThanOrEqual">
      <formula>4</formula>
    </cfRule>
  </conditionalFormatting>
  <conditionalFormatting sqref="B9:C9">
    <cfRule type="cellIs" dxfId="35" priority="36" operator="lessThanOrEqual">
      <formula>10</formula>
    </cfRule>
    <cfRule type="cellIs" dxfId="34" priority="35" operator="between">
      <formula>10</formula>
      <formula>20</formula>
    </cfRule>
    <cfRule type="cellIs" dxfId="33" priority="34" operator="greaterThanOrEqual">
      <formula>20</formula>
    </cfRule>
  </conditionalFormatting>
  <conditionalFormatting sqref="B10:C10">
    <cfRule type="cellIs" dxfId="32" priority="33" operator="lessThanOrEqual">
      <formula>3</formula>
    </cfRule>
    <cfRule type="cellIs" dxfId="31" priority="32" operator="between">
      <formula>3</formula>
      <formula>6</formula>
    </cfRule>
    <cfRule type="cellIs" dxfId="30" priority="31" operator="greaterThanOrEqual">
      <formula>6</formula>
    </cfRule>
  </conditionalFormatting>
  <conditionalFormatting sqref="B11:C11">
    <cfRule type="cellIs" dxfId="29" priority="30" operator="lessThanOrEqual">
      <formula>1</formula>
    </cfRule>
    <cfRule type="cellIs" dxfId="28" priority="29" operator="between">
      <formula>1</formula>
      <formula>3</formula>
    </cfRule>
    <cfRule type="cellIs" dxfId="27" priority="28" operator="greaterThanOrEqual">
      <formula>3</formula>
    </cfRule>
  </conditionalFormatting>
  <conditionalFormatting sqref="B12:C12">
    <cfRule type="cellIs" dxfId="26" priority="27" operator="lessThanOrEqual">
      <formula>30</formula>
    </cfRule>
    <cfRule type="cellIs" dxfId="25" priority="26" operator="between">
      <formula>30</formula>
      <formula>50</formula>
    </cfRule>
    <cfRule type="cellIs" dxfId="24" priority="25" operator="greaterThanOrEqual">
      <formula>50</formula>
    </cfRule>
  </conditionalFormatting>
  <conditionalFormatting sqref="B13:C13">
    <cfRule type="cellIs" dxfId="23" priority="24" operator="lessThanOrEqual">
      <formula>0.2</formula>
    </cfRule>
    <cfRule type="cellIs" dxfId="22" priority="23" operator="between">
      <formula>0.2</formula>
      <formula>0.4</formula>
    </cfRule>
    <cfRule type="cellIs" dxfId="21" priority="22" operator="greaterThanOrEqual">
      <formula>0.4</formula>
    </cfRule>
  </conditionalFormatting>
  <conditionalFormatting sqref="B14:C14">
    <cfRule type="cellIs" dxfId="20" priority="19" operator="greaterThanOrEqual">
      <formula>2.5</formula>
    </cfRule>
    <cfRule type="cellIs" dxfId="19" priority="20" operator="between">
      <formula>1.5</formula>
      <formula>2.5</formula>
    </cfRule>
    <cfRule type="cellIs" dxfId="18" priority="21" operator="lessThanOrEqual">
      <formula>1.5</formula>
    </cfRule>
  </conditionalFormatting>
  <conditionalFormatting sqref="B15:C15">
    <cfRule type="cellIs" dxfId="17" priority="18" operator="lessThanOrEqual">
      <formula>20</formula>
    </cfRule>
    <cfRule type="cellIs" dxfId="16" priority="17" operator="between">
      <formula>20</formula>
      <formula>40</formula>
    </cfRule>
    <cfRule type="cellIs" dxfId="15" priority="16" operator="greaterThanOrEqual">
      <formula>40</formula>
    </cfRule>
  </conditionalFormatting>
  <conditionalFormatting sqref="B16:C16">
    <cfRule type="cellIs" dxfId="14" priority="15" operator="lessThanOrEqual">
      <formula>0.5</formula>
    </cfRule>
    <cfRule type="cellIs" dxfId="13" priority="14" operator="equal">
      <formula>0.5</formula>
    </cfRule>
    <cfRule type="cellIs" dxfId="12" priority="13" operator="greaterThanOrEqual">
      <formula>0.5</formula>
    </cfRule>
  </conditionalFormatting>
  <conditionalFormatting sqref="B17:C17">
    <cfRule type="cellIs" dxfId="11" priority="12" operator="lessThanOrEqual">
      <formula>5</formula>
    </cfRule>
    <cfRule type="cellIs" dxfId="10" priority="11" operator="between">
      <formula>5</formula>
      <formula>10</formula>
    </cfRule>
    <cfRule type="cellIs" dxfId="9" priority="10" operator="greaterThanOrEqual">
      <formula>10</formula>
    </cfRule>
  </conditionalFormatting>
  <conditionalFormatting sqref="B18:C18">
    <cfRule type="cellIs" dxfId="8" priority="9" operator="lessThanOrEqual">
      <formula>6</formula>
    </cfRule>
    <cfRule type="cellIs" dxfId="7" priority="8" operator="between">
      <formula>6</formula>
      <formula>12</formula>
    </cfRule>
    <cfRule type="cellIs" dxfId="6" priority="7" operator="greaterThanOrEqual">
      <formula>12</formula>
    </cfRule>
  </conditionalFormatting>
  <conditionalFormatting sqref="B19:C19">
    <cfRule type="cellIs" dxfId="5" priority="6" operator="lessThanOrEqual">
      <formula>1</formula>
    </cfRule>
    <cfRule type="cellIs" dxfId="4" priority="5" operator="between">
      <formula>1</formula>
      <formula>1.5</formula>
    </cfRule>
    <cfRule type="cellIs" dxfId="3" priority="4" operator="greaterThanOrEqual">
      <formula>1.5</formula>
    </cfRule>
  </conditionalFormatting>
  <conditionalFormatting sqref="B20:C20">
    <cfRule type="cellIs" dxfId="2" priority="3" operator="lessThanOrEqual">
      <formula>0.4</formula>
    </cfRule>
    <cfRule type="cellIs" dxfId="1" priority="2" operator="between">
      <formula>0.4</formula>
      <formula>0.5</formula>
    </cfRule>
    <cfRule type="cellIs" dxfId="0" priority="1" operator="greaterThanOrEqual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"/>
  <sheetViews>
    <sheetView topLeftCell="N1" workbookViewId="0">
      <selection activeCell="T14" sqref="T14"/>
    </sheetView>
  </sheetViews>
  <sheetFormatPr baseColWidth="10" defaultRowHeight="15" x14ac:dyDescent="0.25"/>
  <cols>
    <col min="1" max="1" width="10.140625" customWidth="1"/>
    <col min="2" max="2" width="4.7109375" bestFit="1" customWidth="1"/>
    <col min="3" max="3" width="7.140625" bestFit="1" customWidth="1"/>
    <col min="4" max="4" width="21.7109375" bestFit="1" customWidth="1"/>
    <col min="5" max="5" width="17" bestFit="1" customWidth="1"/>
    <col min="6" max="6" width="3.7109375" hidden="1" customWidth="1"/>
    <col min="7" max="7" width="23.140625" bestFit="1" customWidth="1"/>
    <col min="8" max="8" width="18.85546875" bestFit="1" customWidth="1"/>
    <col min="9" max="9" width="15" bestFit="1" customWidth="1"/>
    <col min="10" max="10" width="30.7109375" bestFit="1" customWidth="1"/>
    <col min="11" max="11" width="18.5703125" customWidth="1"/>
    <col min="12" max="12" width="18" bestFit="1" customWidth="1"/>
    <col min="13" max="13" width="26.85546875" bestFit="1" customWidth="1"/>
    <col min="14" max="14" width="28" customWidth="1"/>
    <col min="15" max="15" width="19.42578125" bestFit="1" customWidth="1"/>
    <col min="16" max="16" width="23.85546875" customWidth="1"/>
    <col min="17" max="17" width="17.5703125" customWidth="1"/>
    <col min="18" max="18" width="20.7109375" bestFit="1" customWidth="1"/>
    <col min="19" max="19" width="31" bestFit="1" customWidth="1"/>
    <col min="20" max="21" width="10.5703125" customWidth="1"/>
    <col min="22" max="22" width="11.5703125" bestFit="1" customWidth="1"/>
    <col min="23" max="23" width="14.28515625" bestFit="1" customWidth="1"/>
  </cols>
  <sheetData>
    <row r="1" spans="1:23" ht="15.75" thickBot="1" x14ac:dyDescent="0.3">
      <c r="A1" s="234" t="s">
        <v>11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5"/>
      <c r="M1" s="233" t="s">
        <v>320</v>
      </c>
      <c r="N1" s="234"/>
      <c r="O1" s="234"/>
    </row>
    <row r="2" spans="1:23" ht="15.75" thickBot="1" x14ac:dyDescent="0.3">
      <c r="A2" s="3" t="s">
        <v>1</v>
      </c>
      <c r="B2" s="3" t="s">
        <v>0</v>
      </c>
      <c r="C2" s="3" t="s">
        <v>10</v>
      </c>
      <c r="D2" s="3" t="s">
        <v>290</v>
      </c>
      <c r="E2" s="3" t="s">
        <v>76</v>
      </c>
      <c r="F2" s="3" t="s">
        <v>17</v>
      </c>
      <c r="G2" s="3" t="s">
        <v>279</v>
      </c>
      <c r="H2" s="3" t="s">
        <v>281</v>
      </c>
      <c r="I2" s="3" t="s">
        <v>285</v>
      </c>
      <c r="J2" s="3" t="s">
        <v>276</v>
      </c>
      <c r="K2" s="3" t="s">
        <v>291</v>
      </c>
      <c r="L2" s="191" t="s">
        <v>23</v>
      </c>
      <c r="M2" s="132" t="s">
        <v>276</v>
      </c>
      <c r="N2" s="3" t="s">
        <v>291</v>
      </c>
      <c r="O2" s="166" t="s">
        <v>23</v>
      </c>
      <c r="S2" s="230" t="s">
        <v>322</v>
      </c>
      <c r="T2" s="231"/>
      <c r="U2" s="232"/>
    </row>
    <row r="3" spans="1:23" ht="15.75" thickBot="1" x14ac:dyDescent="0.3">
      <c r="A3" s="220"/>
      <c r="B3" s="4">
        <v>1</v>
      </c>
      <c r="C3" s="6">
        <f>'Resultado Analisis suelos '!B$2</f>
        <v>0</v>
      </c>
      <c r="D3" s="9">
        <f>'Resultado Analisis suelos '!$B$3</f>
        <v>0</v>
      </c>
      <c r="E3" s="9">
        <f>'Resultado Analisis suelos '!B$8/100</f>
        <v>0</v>
      </c>
      <c r="F3" s="5">
        <f>ROUND('Parametros de referencia'!$C$3*('Parametros de referencia'!$C$9*'Parametros de referencia'!$C$4)*(E3),1)</f>
        <v>0</v>
      </c>
      <c r="G3" s="9">
        <f>F$3*'Parametros de referencia'!$C$10*('Parametros de referencia'!$C$5)*('Parametros de referencia'!$C$6) * 'Parametros de referencia'!C$7</f>
        <v>0</v>
      </c>
      <c r="H3" s="6">
        <f>D3*'Parametros de referencia'!L$4</f>
        <v>0</v>
      </c>
      <c r="I3" s="9">
        <f>(H$3-G$3)</f>
        <v>0</v>
      </c>
      <c r="J3" s="6" t="s">
        <v>133</v>
      </c>
      <c r="K3" s="6" t="e">
        <f>IF(J$3="UREA ESPECIFICACION",((I$3/'Parametros de referencia'!$V$3)/'Parametros de referencia'!AI$3),IF(J$3="SULFATO AMONIO-CAMPO ESPEC",((I$3/'Parametros de referencia'!V$10)/'Parametros de referencia'!AI$10),IF(J$3="NITRO XTEND",((I$3/'Parametros de referencia'!V$13)/'Parametros de referencia'!AI$13))))</f>
        <v>#DIV/0!</v>
      </c>
      <c r="L3" s="165"/>
      <c r="M3" s="133" t="s">
        <v>137</v>
      </c>
      <c r="N3" s="6">
        <f>IF($M$3="UREA ESPECIFICACION",((I$3/'Parametros de referencia'!$V$3)/'Parametros de referencia'!AI$3),IF($M$3="SULFATO AMONIO-CAMPO ESPEC",((I$3/'Parametros de referencia'!V$10)/'Parametros de referencia'!AI$10),IF($M$3="NITRO XTEND",((I$3/'Parametros de referencia'!V$13)/'Parametros de referencia'!AI$13))))*0.3</f>
        <v>0</v>
      </c>
      <c r="O3" s="167"/>
      <c r="S3" s="172" t="s">
        <v>323</v>
      </c>
      <c r="T3" s="173" t="s">
        <v>318</v>
      </c>
      <c r="U3" s="174" t="s">
        <v>319</v>
      </c>
      <c r="V3" s="217" t="s">
        <v>334</v>
      </c>
      <c r="W3" s="218"/>
    </row>
    <row r="4" spans="1:23" ht="15.75" thickBot="1" x14ac:dyDescent="0.3">
      <c r="A4" s="220"/>
      <c r="B4" s="4">
        <v>2</v>
      </c>
      <c r="C4" s="6">
        <f>'Resultado Analisis suelos '!C$2</f>
        <v>0</v>
      </c>
      <c r="D4" s="9">
        <f>'Resultado Analisis suelos '!C$3</f>
        <v>0</v>
      </c>
      <c r="E4" s="9">
        <f>'Resultado Analisis suelos '!C$8/100</f>
        <v>0</v>
      </c>
      <c r="F4" s="5">
        <f>ROUND('Parametros de referencia'!$C$3*('Parametros de referencia'!$C$9*'Parametros de referencia'!$C$4)*(E4),1)</f>
        <v>0</v>
      </c>
      <c r="G4" s="9">
        <f>F$4*'Parametros de referencia'!$C$10*('Parametros de referencia'!$C$5)*('Parametros de referencia'!$C$6) * 'Parametros de referencia'!C$7</f>
        <v>0</v>
      </c>
      <c r="H4" s="6">
        <f>D4*'Parametros de referencia'!L$4</f>
        <v>0</v>
      </c>
      <c r="I4" s="9">
        <f>(H$4-G$4)</f>
        <v>0</v>
      </c>
      <c r="J4" s="6" t="s">
        <v>133</v>
      </c>
      <c r="K4" s="6" t="e">
        <f>IF(J$4="UREA ESPECIFICACION",((I$4/'Parametros de referencia'!$V$3)/'Parametros de referencia'!AI$3),IF(J$4="SULFATO AMONIO-CAMPO ESPEC",((I$4/'Parametros de referencia'!V$10)/'Parametros de referencia'!AI$10),IF(J$4="NITRO XTEND",((I$4/'Parametros de referencia'!V$13)/'Parametros de referencia'!AI$13))))</f>
        <v>#DIV/0!</v>
      </c>
      <c r="L4" s="165"/>
      <c r="M4" s="133" t="s">
        <v>137</v>
      </c>
      <c r="N4" s="6">
        <f>IF(M$4="UREA ESPECIFICACION",((I$4/'Parametros de referencia'!$V$3)/'Parametros de referencia'!AI$3),IF(M$4="SULFATO AMONIO-CAMPO ESPEC",((I$4/'Parametros de referencia'!V$10)/'Parametros de referencia'!AI$10),IF(M$4="NITRO XTEND",((I$4/'Parametros de referencia'!V$13)/'Parametros de referencia'!AI$13))))*0.3</f>
        <v>0</v>
      </c>
      <c r="O4" s="167"/>
      <c r="S4" s="169" t="s">
        <v>324</v>
      </c>
      <c r="T4" s="170">
        <f>C3</f>
        <v>0</v>
      </c>
      <c r="U4" s="175">
        <f>C4</f>
        <v>0</v>
      </c>
      <c r="V4" s="182" t="s">
        <v>335</v>
      </c>
      <c r="W4" s="183" t="s">
        <v>336</v>
      </c>
    </row>
    <row r="5" spans="1:23" x14ac:dyDescent="0.25">
      <c r="C5" s="1"/>
      <c r="D5" s="1"/>
      <c r="S5" s="147" t="str">
        <f>J3</f>
        <v>UREA ESPECIFICACION</v>
      </c>
      <c r="T5" s="146">
        <f>L3</f>
        <v>0</v>
      </c>
      <c r="U5" s="176">
        <f>L4</f>
        <v>0</v>
      </c>
      <c r="V5" s="179">
        <f>($T$4*T5)+($U$4*U5)</f>
        <v>0</v>
      </c>
      <c r="W5" s="171" t="e">
        <f>V5/(SUM($T$4:$U$4))</f>
        <v>#DIV/0!</v>
      </c>
    </row>
    <row r="6" spans="1:23" x14ac:dyDescent="0.25">
      <c r="A6" s="236" t="s">
        <v>15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S6" s="147" t="str">
        <f>J14</f>
        <v>CLORURO DE POTASIO ESPECIFI</v>
      </c>
      <c r="T6" s="168" t="e">
        <f>R14</f>
        <v>#DIV/0!</v>
      </c>
      <c r="U6" s="177" t="e">
        <f>R15</f>
        <v>#DIV/0!</v>
      </c>
      <c r="V6" s="179" t="e">
        <f t="shared" ref="V6:V7" si="0">($T$4*T6)+($U$4*U6)</f>
        <v>#DIV/0!</v>
      </c>
      <c r="W6" s="171" t="e">
        <f t="shared" ref="W6:W7" si="1">V6/(SUM($T$4:$U$4))</f>
        <v>#DIV/0!</v>
      </c>
    </row>
    <row r="7" spans="1:23" ht="15.75" thickBot="1" x14ac:dyDescent="0.3">
      <c r="A7" s="3" t="s">
        <v>1</v>
      </c>
      <c r="B7" s="3" t="s">
        <v>0</v>
      </c>
      <c r="C7" s="3" t="s">
        <v>10</v>
      </c>
      <c r="D7" s="3" t="s">
        <v>290</v>
      </c>
      <c r="E7" s="8" t="s">
        <v>16</v>
      </c>
      <c r="G7" s="3" t="s">
        <v>278</v>
      </c>
      <c r="H7" s="8" t="s">
        <v>280</v>
      </c>
      <c r="I7" s="7" t="s">
        <v>286</v>
      </c>
      <c r="J7" s="3" t="s">
        <v>276</v>
      </c>
      <c r="K7" s="3" t="s">
        <v>291</v>
      </c>
      <c r="L7" s="189" t="s">
        <v>23</v>
      </c>
      <c r="S7" s="135" t="s">
        <v>295</v>
      </c>
      <c r="T7" s="136">
        <v>50</v>
      </c>
      <c r="U7" s="178">
        <v>50</v>
      </c>
      <c r="V7" s="180">
        <f t="shared" si="0"/>
        <v>0</v>
      </c>
      <c r="W7" s="181" t="e">
        <f t="shared" si="1"/>
        <v>#DIV/0!</v>
      </c>
    </row>
    <row r="8" spans="1:23" x14ac:dyDescent="0.25">
      <c r="A8" s="220">
        <f>A3</f>
        <v>0</v>
      </c>
      <c r="B8" s="4">
        <v>1</v>
      </c>
      <c r="C8" s="6">
        <f>C$3</f>
        <v>0</v>
      </c>
      <c r="D8" s="6">
        <f>D$3</f>
        <v>0</v>
      </c>
      <c r="E8" s="9">
        <f>'Resultado Analisis suelos '!B$17</f>
        <v>0</v>
      </c>
      <c r="G8" s="9">
        <f>'Parametros de referencia'!C$3*('Parametros de referencia'!$C$9*'Parametros de referencia'!C$4)*'Parametros de referencia'!$C$10*(E$8/'Parametros de referencia'!$C$17)*0.3</f>
        <v>0</v>
      </c>
      <c r="H8" s="9">
        <f>D8*'Parametros de referencia'!$L$5</f>
        <v>0</v>
      </c>
      <c r="I8" s="9">
        <f>(H$8-G$8)</f>
        <v>0</v>
      </c>
      <c r="J8" s="9" t="s">
        <v>333</v>
      </c>
      <c r="K8" s="9" t="e">
        <f>IF(J$8="FOSFATO DIAMONICO (DAP)",(($I$8/'Parametros de referencia'!$W$14)/'Parametros de referencia'!AI$14),IF(J$8="FOSQUIMINT VEINTE-8",((I$8/'Parametros de referencia'!W$9)/'Parametros de referencia'!AI$9),IF(J$8="FOSFATO MONOAMÓNICO (MAP)",(($I$8/'Parametros de referencia'!$W$16)/'Parametros de referencia'!AI$16))))</f>
        <v>#DIV/0!</v>
      </c>
      <c r="L8" s="190" t="e">
        <f>K8*0.8</f>
        <v>#DIV/0!</v>
      </c>
    </row>
    <row r="9" spans="1:23" x14ac:dyDescent="0.25">
      <c r="A9" s="221"/>
      <c r="B9" s="4">
        <v>2</v>
      </c>
      <c r="C9" s="6">
        <f>C$4</f>
        <v>0</v>
      </c>
      <c r="D9" s="6">
        <f>D$4</f>
        <v>0</v>
      </c>
      <c r="E9" s="9">
        <f>'Resultado Analisis suelos '!C$17</f>
        <v>0</v>
      </c>
      <c r="G9" s="9">
        <f>'Parametros de referencia'!C$3*('Parametros de referencia'!$C$9*'Parametros de referencia'!C$4)*'Parametros de referencia'!$C$10*(E$9/'Parametros de referencia'!$C$17)*0.3</f>
        <v>0</v>
      </c>
      <c r="H9" s="9">
        <f>D9*'Parametros de referencia'!$L$5</f>
        <v>0</v>
      </c>
      <c r="I9" s="9">
        <f>(H$9-G$9)</f>
        <v>0</v>
      </c>
      <c r="J9" s="9" t="s">
        <v>333</v>
      </c>
      <c r="K9" s="9" t="e">
        <f>IF(J$9="FOSFATO DIAMONICO (DAP)",(($I$9/'Parametros de referencia'!$W$14)/'Parametros de referencia'!AI$14),IF(J$9="FOSQUIMINT VEINTE-8",((I$9/'Parametros de referencia'!W$9)/'Parametros de referencia'!AI$9),IF(J$9="FOSFATO MONOAMÓNICO (MAP)",(($I$9/'Parametros de referencia'!$W$16)/'Parametros de referencia'!AI$16))))</f>
        <v>#DIV/0!</v>
      </c>
      <c r="L9" s="190" t="e">
        <f>K9*0.8</f>
        <v>#DIV/0!</v>
      </c>
    </row>
    <row r="11" spans="1:23" ht="15.75" thickBot="1" x14ac:dyDescent="0.3">
      <c r="T11" s="131"/>
      <c r="U11" s="131"/>
    </row>
    <row r="12" spans="1:23" ht="15.75" thickBot="1" x14ac:dyDescent="0.3">
      <c r="A12" s="225" t="s">
        <v>19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145"/>
      <c r="O12" s="227" t="s">
        <v>321</v>
      </c>
      <c r="P12" s="228"/>
      <c r="Q12" s="228"/>
      <c r="R12" s="229"/>
      <c r="S12" s="130"/>
    </row>
    <row r="13" spans="1:23" x14ac:dyDescent="0.25">
      <c r="A13" s="3" t="s">
        <v>1</v>
      </c>
      <c r="B13" s="3" t="s">
        <v>0</v>
      </c>
      <c r="C13" s="3" t="s">
        <v>10</v>
      </c>
      <c r="D13" s="3" t="s">
        <v>290</v>
      </c>
      <c r="E13" s="3" t="s">
        <v>20</v>
      </c>
      <c r="F13" s="3" t="s">
        <v>21</v>
      </c>
      <c r="G13" s="3" t="s">
        <v>22</v>
      </c>
      <c r="H13" s="3" t="s">
        <v>282</v>
      </c>
      <c r="I13" s="3" t="s">
        <v>287</v>
      </c>
      <c r="J13" s="3" t="s">
        <v>276</v>
      </c>
      <c r="K13" s="3" t="s">
        <v>291</v>
      </c>
      <c r="L13" s="141" t="s">
        <v>23</v>
      </c>
      <c r="M13" s="143"/>
      <c r="O13" s="193" t="s">
        <v>314</v>
      </c>
      <c r="P13" s="8" t="s">
        <v>315</v>
      </c>
      <c r="Q13" s="8" t="s">
        <v>316</v>
      </c>
      <c r="R13" s="194" t="s">
        <v>338</v>
      </c>
      <c r="S13" s="130"/>
    </row>
    <row r="14" spans="1:23" x14ac:dyDescent="0.25">
      <c r="A14" s="220">
        <f>A3</f>
        <v>0</v>
      </c>
      <c r="B14" s="4">
        <v>1</v>
      </c>
      <c r="C14" s="6">
        <f>C$3</f>
        <v>0</v>
      </c>
      <c r="D14" s="9">
        <f>D$3</f>
        <v>0</v>
      </c>
      <c r="E14" s="9">
        <f>'Resultado Analisis suelos '!B$13</f>
        <v>0</v>
      </c>
      <c r="F14" s="9">
        <f>E14*'Parametros de referencia'!$C$11</f>
        <v>0</v>
      </c>
      <c r="G14" s="9">
        <f>'Parametros de referencia'!C$3*('Parametros de referencia'!$C$9*'Parametros de referencia'!C$4)*'Parametros de referencia'!$C$10*(F$14/'Parametros de referencia'!$C$17)</f>
        <v>0</v>
      </c>
      <c r="H14" s="9">
        <f>D14*'Parametros de referencia'!$L$6</f>
        <v>0</v>
      </c>
      <c r="I14" s="9">
        <f>(H$14-G14)</f>
        <v>0</v>
      </c>
      <c r="J14" s="9" t="s">
        <v>135</v>
      </c>
      <c r="K14" s="9" t="e">
        <f>IF(J$14="CLORURO DE POTASIO ESPECIFI",(($I$14/'Parametros de referencia'!$X$7)/'Parametros de referencia'!AI$7),0)</f>
        <v>#DIV/0!</v>
      </c>
      <c r="L14" s="142" t="e">
        <f>$K$14*0.7-50</f>
        <v>#DIV/0!</v>
      </c>
      <c r="M14" s="144"/>
      <c r="O14" s="134">
        <f>D14*'Parametros de referencia'!$L$6</f>
        <v>0</v>
      </c>
      <c r="P14" s="106" t="e">
        <f>IF('Resultado Analisis suelos '!$B$25&lt;40,"No Aplicar",IF(AND('Resultado Analisis suelos '!$B$25&gt;40,'Resultado Analisis suelos '!$B$25&lt;70),'Determinacion de Dosis'!O14*0.15,IF('Resultado Analisis suelos '!$B$25&gt;=70,0.2*'Determinacion de Dosis'!O14,0)))</f>
        <v>#DIV/0!</v>
      </c>
      <c r="Q14" s="168" t="e">
        <f>IF(J$14="CLORURO DE POTASIO ESPECIFI",(($P$14/'Parametros de referencia'!$X$7)/'Parametros de referencia'!AI$7),0)-50</f>
        <v>#DIV/0!</v>
      </c>
      <c r="R14" s="195" t="e">
        <f>Q14*0.8</f>
        <v>#DIV/0!</v>
      </c>
    </row>
    <row r="15" spans="1:23" ht="15.75" thickBot="1" x14ac:dyDescent="0.3">
      <c r="A15" s="221"/>
      <c r="B15" s="4">
        <v>2</v>
      </c>
      <c r="C15" s="6">
        <f>C$4</f>
        <v>0</v>
      </c>
      <c r="D15" s="9">
        <f>D$4</f>
        <v>0</v>
      </c>
      <c r="E15" s="9">
        <f>'Resultado Analisis suelos '!C$13</f>
        <v>0</v>
      </c>
      <c r="F15" s="9">
        <f>E15*'Parametros de referencia'!$C$11</f>
        <v>0</v>
      </c>
      <c r="G15" s="9">
        <f>'Parametros de referencia'!C$3*('Parametros de referencia'!$C$9*'Parametros de referencia'!C$4)*'Parametros de referencia'!$C$10*(F$15/'Parametros de referencia'!$C$17)</f>
        <v>0</v>
      </c>
      <c r="H15" s="9">
        <f>D15*'Parametros de referencia'!$L$6</f>
        <v>0</v>
      </c>
      <c r="I15" s="9">
        <f>(H15-G15)</f>
        <v>0</v>
      </c>
      <c r="J15" s="9" t="s">
        <v>135</v>
      </c>
      <c r="K15" s="9" t="e">
        <f>IF(J$15="CLORURO DE POTASIO ESPECIFI",(($I$15/'Parametros de referencia'!$X$7)/'Parametros de referencia'!AI$7),0)</f>
        <v>#DIV/0!</v>
      </c>
      <c r="L15" s="142" t="e">
        <f>$K$15*0.7-50</f>
        <v>#DIV/0!</v>
      </c>
      <c r="M15" s="144"/>
      <c r="O15" s="135">
        <f>D15*'Parametros de referencia'!$L$6</f>
        <v>0</v>
      </c>
      <c r="P15" s="136" t="e">
        <f>IF('Resultado Analisis suelos '!$C$25&lt;40,"No Aplicar",IF(AND('Resultado Analisis suelos '!$C$25&gt;40,'Resultado Analisis suelos '!$C$25&lt;70),'Determinacion de Dosis'!O15*0.15,IF('Resultado Analisis suelos '!$C$25&gt;=70,0.2*'Determinacion de Dosis'!O15,0)))</f>
        <v>#DIV/0!</v>
      </c>
      <c r="Q15" s="192" t="e">
        <f>IF(J$15="CLORURO DE POTASIO ESPECIFI",(($P$15/'Parametros de referencia'!$X$7)/'Parametros de referencia'!AI$7),0)-50</f>
        <v>#DIV/0!</v>
      </c>
      <c r="R15" s="196" t="e">
        <f>Q15*0.8</f>
        <v>#DIV/0!</v>
      </c>
    </row>
    <row r="16" spans="1:23" x14ac:dyDescent="0.25">
      <c r="M16" s="2"/>
      <c r="N16" s="2"/>
      <c r="O16" s="2"/>
      <c r="P16" s="2"/>
    </row>
    <row r="17" spans="1:20" x14ac:dyDescent="0.25">
      <c r="A17" s="223" t="s">
        <v>153</v>
      </c>
      <c r="B17" s="223"/>
      <c r="C17" s="223"/>
      <c r="D17" s="223"/>
      <c r="E17" s="223"/>
      <c r="F17" s="223"/>
      <c r="G17" s="223"/>
      <c r="H17" s="223"/>
      <c r="I17" s="223"/>
      <c r="J17" s="223"/>
      <c r="K17" s="223"/>
      <c r="L17" s="224"/>
    </row>
    <row r="18" spans="1:20" x14ac:dyDescent="0.25">
      <c r="A18" s="3" t="s">
        <v>1</v>
      </c>
      <c r="B18" s="3" t="s">
        <v>0</v>
      </c>
      <c r="C18" s="3" t="s">
        <v>10</v>
      </c>
      <c r="D18" s="3" t="s">
        <v>290</v>
      </c>
      <c r="E18" s="8" t="s">
        <v>16</v>
      </c>
      <c r="G18" s="8" t="s">
        <v>275</v>
      </c>
      <c r="H18" s="8" t="s">
        <v>283</v>
      </c>
      <c r="I18" s="7" t="s">
        <v>288</v>
      </c>
      <c r="J18" s="3" t="s">
        <v>276</v>
      </c>
      <c r="K18" s="3" t="s">
        <v>291</v>
      </c>
      <c r="L18" s="3" t="s">
        <v>23</v>
      </c>
      <c r="T18" t="s">
        <v>339</v>
      </c>
    </row>
    <row r="19" spans="1:20" x14ac:dyDescent="0.25">
      <c r="A19" s="220">
        <f>A3</f>
        <v>0</v>
      </c>
      <c r="B19" s="4">
        <v>1</v>
      </c>
      <c r="C19" s="6">
        <f>C$3</f>
        <v>0</v>
      </c>
      <c r="D19" s="6">
        <f>D$3</f>
        <v>0</v>
      </c>
      <c r="E19" s="9">
        <f>'Resultado Analisis suelos '!B$20</f>
        <v>0</v>
      </c>
      <c r="F19" s="98"/>
      <c r="G19" s="9">
        <f>'Parametros de referencia'!C$3*('Parametros de referencia'!$C$9*'Parametros de referencia'!C$4)*'Parametros de referencia'!$C$10*(E$19/'Parametros de referencia'!$C$17)</f>
        <v>0</v>
      </c>
      <c r="H19" s="9">
        <f>(D19*'Parametros de referencia'!L$15)/1000</f>
        <v>0</v>
      </c>
      <c r="I19" s="9">
        <f>(H19-G19)</f>
        <v>0</v>
      </c>
      <c r="J19" s="9" t="s">
        <v>128</v>
      </c>
      <c r="K19" s="9">
        <f>IF(J$19="ZINCOFERTIL X 20KG",((I$19/'Parametros de referencia'!$AD$4)/'Parametros de referencia'!AI$4),IF(J$19="MICROFERTIL X 46KG",((I$19/'Parametros de referencia'!AD$5)/'Parametros de referencia'!AI$5),IF(J$19="BOROZINCO",((I$19/'Parametros de referencia'!AD$6)/'Parametros de referencia'!AI$6),IF(J$19="FERTICANA ESPECIFICACION",((I$19/'Parametros de referencia'!$AD$8)/'Parametros de referencia'!$AI$8),0))))</f>
        <v>0</v>
      </c>
      <c r="L19" s="9">
        <f>$K$19*0.7</f>
        <v>0</v>
      </c>
    </row>
    <row r="20" spans="1:20" x14ac:dyDescent="0.25">
      <c r="A20" s="221"/>
      <c r="B20" s="4">
        <v>2</v>
      </c>
      <c r="C20" s="6">
        <f>C$4</f>
        <v>0</v>
      </c>
      <c r="D20" s="6">
        <f>D$4</f>
        <v>0</v>
      </c>
      <c r="E20" s="9">
        <f>'Resultado Analisis suelos '!C$20</f>
        <v>0</v>
      </c>
      <c r="F20" s="98"/>
      <c r="G20" s="9">
        <f>'Parametros de referencia'!C$3*('Parametros de referencia'!$C$9*'Parametros de referencia'!C$4)*'Parametros de referencia'!$C$10*(E$20/'Parametros de referencia'!$C$17)</f>
        <v>0</v>
      </c>
      <c r="H20" s="9">
        <f>(D20*'Parametros de referencia'!L$15)/1000</f>
        <v>0</v>
      </c>
      <c r="I20" s="9">
        <f>(H20-G20)</f>
        <v>0</v>
      </c>
      <c r="J20" s="9" t="s">
        <v>128</v>
      </c>
      <c r="K20" s="9">
        <f>IF(J$20="ZINCOFERTIL X 20KG",((I$20/'Parametros de referencia'!$AD$4)/'Parametros de referencia'!AI$4),IF(J$20="MICROFERTIL X 46KG",((I$20/'Parametros de referencia'!AD$5)/'Parametros de referencia'!AI$5),IF(J$20="BOROZINCO",((I$20/'Parametros de referencia'!AD$6)/'Parametros de referencia'!AI$6),IF(J$20="FERTICANA ESPECIFICACION",((I$20/'Parametros de referencia'!$AD$8)/'Parametros de referencia'!$AI$8),0))))</f>
        <v>0</v>
      </c>
      <c r="L20" s="9">
        <f>$K$20*0.7</f>
        <v>0</v>
      </c>
    </row>
    <row r="23" spans="1:20" x14ac:dyDescent="0.25">
      <c r="A23" s="222" t="s">
        <v>154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</row>
    <row r="24" spans="1:20" x14ac:dyDescent="0.25">
      <c r="A24" s="3" t="s">
        <v>1</v>
      </c>
      <c r="B24" s="3" t="s">
        <v>0</v>
      </c>
      <c r="C24" s="3" t="s">
        <v>10</v>
      </c>
      <c r="D24" s="3" t="s">
        <v>290</v>
      </c>
      <c r="E24" s="8" t="s">
        <v>16</v>
      </c>
      <c r="G24" s="8" t="s">
        <v>274</v>
      </c>
      <c r="H24" s="8" t="s">
        <v>284</v>
      </c>
      <c r="I24" s="7" t="s">
        <v>289</v>
      </c>
      <c r="J24" s="3" t="s">
        <v>276</v>
      </c>
      <c r="K24" s="3" t="s">
        <v>291</v>
      </c>
      <c r="L24" s="3" t="s">
        <v>23</v>
      </c>
      <c r="M24" s="104"/>
    </row>
    <row r="25" spans="1:20" x14ac:dyDescent="0.25">
      <c r="A25" s="220">
        <f>A3</f>
        <v>0</v>
      </c>
      <c r="B25" s="4">
        <v>1</v>
      </c>
      <c r="C25" s="6">
        <f>C$3</f>
        <v>0</v>
      </c>
      <c r="D25" s="6">
        <f>D$3</f>
        <v>0</v>
      </c>
      <c r="E25" s="9">
        <f>'Resultado Analisis suelos '!B$19</f>
        <v>0</v>
      </c>
      <c r="F25" s="98"/>
      <c r="G25" s="9">
        <f>'Parametros de referencia'!C$3*('Parametros de referencia'!$C$9*'Parametros de referencia'!C$4)*'Parametros de referencia'!$C$10*(E$25/'Parametros de referencia'!$C$17)</f>
        <v>0</v>
      </c>
      <c r="H25" s="9">
        <f>($D$25*'Parametros de referencia'!L$14)/1000</f>
        <v>0</v>
      </c>
      <c r="I25" s="9">
        <f>(H25-G25)</f>
        <v>0</v>
      </c>
      <c r="J25" s="9" t="s">
        <v>128</v>
      </c>
      <c r="K25" s="9">
        <f>IF(J$25="ZINCOFERTIL X 20KG",((I$25/'Parametros de referencia'!$AF$4)/'Parametros de referencia'!AI$4),IF(J$25="MICROFERTIL X 46KG",((I$25/'Parametros de referencia'!AF$5)/'Parametros de referencia'!AI$5),IF(J$25="BOROZINCO",((I$25/'Parametros de referencia'!AF$6)/'Parametros de referencia'!AI$6),IF(J$25="FERTICANA ESPECIFICACION",((I$25/'Parametros de referencia'!$AF$8)/'Parametros de referencia'!$AI$8),0))))</f>
        <v>0</v>
      </c>
      <c r="L25" s="9">
        <f>$K$25*0.7</f>
        <v>0</v>
      </c>
    </row>
    <row r="26" spans="1:20" x14ac:dyDescent="0.25">
      <c r="A26" s="221"/>
      <c r="B26" s="4">
        <v>2</v>
      </c>
      <c r="C26" s="6">
        <f>C$4</f>
        <v>0</v>
      </c>
      <c r="D26" s="6">
        <f>D$4</f>
        <v>0</v>
      </c>
      <c r="E26" s="9">
        <f>'Resultado Analisis suelos '!C$19</f>
        <v>0</v>
      </c>
      <c r="F26" s="98"/>
      <c r="G26" s="9">
        <f>'Parametros de referencia'!C$3*('Parametros de referencia'!$C$9*'Parametros de referencia'!C$4)*'Parametros de referencia'!$C$10*(E$26/'Parametros de referencia'!$C$17)</f>
        <v>0</v>
      </c>
      <c r="H26" s="9">
        <f>(D26*'Parametros de referencia'!L$14)/1000</f>
        <v>0</v>
      </c>
      <c r="I26" s="9">
        <f>(H26-G26)</f>
        <v>0</v>
      </c>
      <c r="J26" s="9" t="s">
        <v>128</v>
      </c>
      <c r="K26" s="9">
        <f>IF(J$26="ZINCOFERTIL X 20KG",((I$26/'Parametros de referencia'!$AF$4)/'Parametros de referencia'!AI$4),IF(J$26="MICROFERTIL X 46KG",((I$26/'Parametros de referencia'!AF$5)/'Parametros de referencia'!AI$5),IF(J$26="BOROZINCO",((I$26/'Parametros de referencia'!AF$6)/'Parametros de referencia'!AI$6),IF(J$26="FERTICANA ESPECIFICACION",((I$26/'Parametros de referencia'!$AF$8)/'Parametros de referencia'!$AI$8),0))))</f>
        <v>0</v>
      </c>
      <c r="L26" s="9">
        <f>$K$26*0.7</f>
        <v>0</v>
      </c>
    </row>
    <row r="28" spans="1:20" x14ac:dyDescent="0.25">
      <c r="A28" s="219" t="s">
        <v>300</v>
      </c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</row>
    <row r="29" spans="1:20" x14ac:dyDescent="0.25">
      <c r="A29" s="3" t="s">
        <v>1</v>
      </c>
      <c r="B29" s="3" t="s">
        <v>0</v>
      </c>
      <c r="C29" s="3" t="s">
        <v>10</v>
      </c>
      <c r="D29" s="3" t="s">
        <v>290</v>
      </c>
      <c r="E29" s="8" t="s">
        <v>16</v>
      </c>
      <c r="G29" s="8" t="s">
        <v>274</v>
      </c>
      <c r="H29" s="8" t="s">
        <v>284</v>
      </c>
      <c r="I29" s="7" t="s">
        <v>289</v>
      </c>
      <c r="J29" s="3" t="s">
        <v>276</v>
      </c>
      <c r="K29" s="3" t="s">
        <v>291</v>
      </c>
      <c r="L29" s="3" t="s">
        <v>23</v>
      </c>
    </row>
    <row r="30" spans="1:20" x14ac:dyDescent="0.25">
      <c r="A30" s="220">
        <f>A3</f>
        <v>0</v>
      </c>
      <c r="B30" s="4">
        <v>1</v>
      </c>
      <c r="C30" s="6">
        <f>C$3</f>
        <v>0</v>
      </c>
      <c r="D30" s="6">
        <f>D$3</f>
        <v>0</v>
      </c>
      <c r="E30" s="9">
        <f>'Resultado Analisis suelos '!B$12</f>
        <v>0</v>
      </c>
      <c r="F30" s="98"/>
      <c r="G30" s="9">
        <f>'Parametros de referencia'!C$3*('Parametros de referencia'!$C$9*'Parametros de referencia'!C$4)*'Parametros de referencia'!$C$10*(E$30/'Parametros de referencia'!$C$17)</f>
        <v>0</v>
      </c>
      <c r="H30" s="9">
        <f>(D30*'Parametros de referencia'!$L$11)/1000</f>
        <v>0</v>
      </c>
      <c r="I30" s="9">
        <f>(H30-G30)</f>
        <v>0</v>
      </c>
      <c r="J30" s="9" t="s">
        <v>128</v>
      </c>
      <c r="K30" s="9">
        <f>IF(J$25="ZINCOFERTIL X 20KG",((I$25/'Parametros de referencia'!$AF$4)/'Parametros de referencia'!AI$4),IF(J$25="MICROFERTIL X 46KG",((I$25/'Parametros de referencia'!AF$5)/'Parametros de referencia'!AI$5),IF(J$25="BOROZINCO",((I$25/'Parametros de referencia'!AF$6)/'Parametros de referencia'!AI$6),IF(J$25="FERTICANA ESPECIFICACION",((I$25/'Parametros de referencia'!$AF$8)/'Parametros de referencia'!$AI$8),0))))</f>
        <v>0</v>
      </c>
      <c r="L30" s="9">
        <f>$K$25*0.7</f>
        <v>0</v>
      </c>
    </row>
    <row r="31" spans="1:20" x14ac:dyDescent="0.25">
      <c r="A31" s="221"/>
      <c r="B31" s="4">
        <v>2</v>
      </c>
      <c r="C31" s="6">
        <f>C$4</f>
        <v>0</v>
      </c>
      <c r="D31" s="6">
        <f>D$4</f>
        <v>0</v>
      </c>
      <c r="E31" s="9">
        <f>'Resultado Analisis suelos '!C$12</f>
        <v>0</v>
      </c>
      <c r="F31" s="98"/>
      <c r="G31" s="9">
        <f>'Parametros de referencia'!C$3*('Parametros de referencia'!$C$9*'Parametros de referencia'!C$4)*'Parametros de referencia'!$C$10*(E$31/'Parametros de referencia'!$C$17)</f>
        <v>0</v>
      </c>
      <c r="H31" s="9">
        <f>(D31*'Parametros de referencia'!$L$11)/1000</f>
        <v>0</v>
      </c>
      <c r="I31" s="9">
        <f>(H31-G31)/1000</f>
        <v>0</v>
      </c>
      <c r="J31" s="9" t="s">
        <v>128</v>
      </c>
      <c r="K31" s="9">
        <f>IF(J$26="ZINCOFERTIL X 20KG",((I$26/'Parametros de referencia'!$AF$4)/'Parametros de referencia'!AI$4),IF(J$26="MICROFERTIL X 46KG",((I$26/'Parametros de referencia'!AF$5)/'Parametros de referencia'!AI$5),IF(J$26="BOROZINCO",((I$26/'Parametros de referencia'!AF$6)/'Parametros de referencia'!AI$6),IF(J$26="FERTICANA ESPECIFICACION",((I$26/'Parametros de referencia'!$AF$8)/'Parametros de referencia'!$AI$8),0))))</f>
        <v>0</v>
      </c>
      <c r="L31" s="9">
        <f>$K$26*0.7</f>
        <v>0</v>
      </c>
    </row>
  </sheetData>
  <mergeCells count="16">
    <mergeCell ref="S2:U2"/>
    <mergeCell ref="M1:O1"/>
    <mergeCell ref="A1:L1"/>
    <mergeCell ref="A6:L6"/>
    <mergeCell ref="A8:A9"/>
    <mergeCell ref="A3:A4"/>
    <mergeCell ref="V3:W3"/>
    <mergeCell ref="A28:L28"/>
    <mergeCell ref="A30:A31"/>
    <mergeCell ref="A14:A15"/>
    <mergeCell ref="A19:A20"/>
    <mergeCell ref="A25:A26"/>
    <mergeCell ref="A23:L23"/>
    <mergeCell ref="A17:L17"/>
    <mergeCell ref="A12:L12"/>
    <mergeCell ref="O12:R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'Parametros de referencia'!$U$22:$U$24</xm:f>
          </x14:formula1>
          <xm:sqref>J3:J4 M3:M4</xm:sqref>
        </x14:dataValidation>
        <x14:dataValidation type="list" allowBlank="1" showInputMessage="1" showErrorMessage="1" xr:uid="{00000000-0002-0000-0200-000002000000}">
          <x14:formula1>
            <xm:f>'Parametros de referencia'!$U$31</xm:f>
          </x14:formula1>
          <xm:sqref>J14:J15</xm:sqref>
        </x14:dataValidation>
        <x14:dataValidation type="list" allowBlank="1" showInputMessage="1" showErrorMessage="1" xr:uid="{00000000-0002-0000-0200-000003000000}">
          <x14:formula1>
            <xm:f>'Parametros de referencia'!$U$34:$U$37</xm:f>
          </x14:formula1>
          <xm:sqref>J19:J20 J30:J31 J25:J26</xm:sqref>
        </x14:dataValidation>
        <x14:dataValidation type="list" allowBlank="1" showInputMessage="1" showErrorMessage="1" xr:uid="{43396643-C528-43C6-81F7-61A644E9F766}">
          <x14:formula1>
            <xm:f>'Parametros de referencia'!$U$27:$U$29</xm:f>
          </x14:formula1>
          <xm:sqref>J8:J9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38"/>
  <sheetViews>
    <sheetView workbookViewId="0">
      <selection activeCell="L7" sqref="L7"/>
    </sheetView>
  </sheetViews>
  <sheetFormatPr baseColWidth="10" defaultRowHeight="15" x14ac:dyDescent="0.25"/>
  <cols>
    <col min="1" max="1" width="2.5703125" customWidth="1"/>
    <col min="2" max="2" width="31.28515625" bestFit="1" customWidth="1"/>
    <col min="5" max="5" width="3.28515625" customWidth="1"/>
    <col min="6" max="6" width="21.7109375" bestFit="1" customWidth="1"/>
    <col min="7" max="7" width="11.42578125" customWidth="1"/>
    <col min="13" max="13" width="4.28515625" customWidth="1"/>
    <col min="14" max="14" width="8.85546875" bestFit="1" customWidth="1"/>
    <col min="15" max="15" width="9.140625" customWidth="1"/>
    <col min="20" max="20" width="3.5703125" customWidth="1"/>
    <col min="21" max="21" width="33.7109375" bestFit="1" customWidth="1"/>
    <col min="22" max="28" width="8.7109375" bestFit="1" customWidth="1"/>
    <col min="29" max="31" width="7.7109375" bestFit="1" customWidth="1"/>
    <col min="32" max="32" width="8.7109375" bestFit="1" customWidth="1"/>
    <col min="33" max="33" width="7.7109375" bestFit="1" customWidth="1"/>
    <col min="34" max="34" width="8.7109375" bestFit="1" customWidth="1"/>
    <col min="35" max="35" width="10.7109375" customWidth="1"/>
    <col min="36" max="36" width="8.7109375" bestFit="1" customWidth="1"/>
    <col min="37" max="37" width="7.7109375" bestFit="1" customWidth="1"/>
    <col min="38" max="38" width="45.140625" bestFit="1" customWidth="1"/>
  </cols>
  <sheetData>
    <row r="1" spans="2:38" x14ac:dyDescent="0.25">
      <c r="B1" s="238" t="s">
        <v>64</v>
      </c>
      <c r="C1" s="239"/>
      <c r="D1" s="240"/>
      <c r="F1" s="238" t="s">
        <v>42</v>
      </c>
      <c r="G1" s="239"/>
      <c r="H1" s="239"/>
      <c r="I1" s="239"/>
      <c r="J1" s="239"/>
      <c r="K1" s="239"/>
      <c r="L1" s="240"/>
      <c r="N1" s="238" t="s">
        <v>121</v>
      </c>
      <c r="O1" s="239"/>
      <c r="P1" s="239"/>
      <c r="Q1" s="239"/>
      <c r="R1" s="239"/>
      <c r="S1" s="240"/>
      <c r="U1" s="237" t="s">
        <v>120</v>
      </c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8"/>
      <c r="AI1" s="246" t="s">
        <v>296</v>
      </c>
      <c r="AJ1" s="244" t="s">
        <v>155</v>
      </c>
      <c r="AK1" s="245"/>
      <c r="AL1" s="241" t="s">
        <v>156</v>
      </c>
    </row>
    <row r="2" spans="2:38" x14ac:dyDescent="0.25">
      <c r="B2" s="31" t="s">
        <v>12</v>
      </c>
      <c r="C2" s="31" t="s">
        <v>6</v>
      </c>
      <c r="D2" s="31" t="s">
        <v>5</v>
      </c>
      <c r="F2" s="238" t="s">
        <v>299</v>
      </c>
      <c r="G2" s="239"/>
      <c r="H2" s="239"/>
      <c r="I2" s="239"/>
      <c r="J2" s="239"/>
      <c r="K2" s="239"/>
      <c r="L2" s="240"/>
      <c r="N2" s="238" t="s">
        <v>149</v>
      </c>
      <c r="O2" s="240"/>
      <c r="P2" s="238" t="s">
        <v>152</v>
      </c>
      <c r="Q2" s="240"/>
      <c r="R2" s="238" t="s">
        <v>14</v>
      </c>
      <c r="S2" s="240"/>
      <c r="U2" s="35" t="s">
        <v>127</v>
      </c>
      <c r="V2" s="35" t="s">
        <v>122</v>
      </c>
      <c r="W2" s="35" t="s">
        <v>13</v>
      </c>
      <c r="X2" s="35" t="s">
        <v>14</v>
      </c>
      <c r="Y2" s="35" t="s">
        <v>123</v>
      </c>
      <c r="Z2" s="35" t="s">
        <v>124</v>
      </c>
      <c r="AA2" s="35" t="s">
        <v>125</v>
      </c>
      <c r="AB2" s="35" t="s">
        <v>126</v>
      </c>
      <c r="AC2" s="35" t="s">
        <v>141</v>
      </c>
      <c r="AD2" s="35" t="s">
        <v>142</v>
      </c>
      <c r="AE2" s="35" t="s">
        <v>143</v>
      </c>
      <c r="AF2" s="35" t="s">
        <v>144</v>
      </c>
      <c r="AG2" s="34" t="s">
        <v>145</v>
      </c>
      <c r="AH2" s="36" t="s">
        <v>146</v>
      </c>
      <c r="AI2" s="246"/>
      <c r="AJ2" s="103" t="s">
        <v>157</v>
      </c>
      <c r="AK2" s="37" t="s">
        <v>158</v>
      </c>
      <c r="AL2" s="241"/>
    </row>
    <row r="3" spans="2:38" x14ac:dyDescent="0.25">
      <c r="B3" s="4" t="s">
        <v>2</v>
      </c>
      <c r="C3" s="4">
        <v>1.2</v>
      </c>
      <c r="D3" s="4" t="s">
        <v>3</v>
      </c>
      <c r="F3" s="31" t="s">
        <v>48</v>
      </c>
      <c r="G3" s="31" t="s">
        <v>43</v>
      </c>
      <c r="H3" s="31" t="s">
        <v>44</v>
      </c>
      <c r="I3" s="31" t="s">
        <v>45</v>
      </c>
      <c r="J3" s="31" t="s">
        <v>46</v>
      </c>
      <c r="K3" s="31" t="s">
        <v>47</v>
      </c>
      <c r="L3" s="31" t="s">
        <v>60</v>
      </c>
      <c r="N3" s="238" t="s">
        <v>24</v>
      </c>
      <c r="O3" s="240"/>
      <c r="P3" s="238" t="s">
        <v>117</v>
      </c>
      <c r="Q3" s="240"/>
      <c r="R3" s="238" t="s">
        <v>118</v>
      </c>
      <c r="S3" s="240"/>
      <c r="U3" s="32" t="s">
        <v>133</v>
      </c>
      <c r="V3" s="33">
        <v>0.46</v>
      </c>
      <c r="W3" s="33" t="s">
        <v>140</v>
      </c>
      <c r="X3" s="33" t="s">
        <v>140</v>
      </c>
      <c r="Y3" s="33" t="s">
        <v>140</v>
      </c>
      <c r="Z3" s="33" t="s">
        <v>140</v>
      </c>
      <c r="AA3" s="33" t="s">
        <v>140</v>
      </c>
      <c r="AB3" s="33" t="s">
        <v>140</v>
      </c>
      <c r="AC3" s="33" t="s">
        <v>140</v>
      </c>
      <c r="AD3" s="33" t="s">
        <v>140</v>
      </c>
      <c r="AE3" s="33" t="s">
        <v>140</v>
      </c>
      <c r="AF3" s="33" t="s">
        <v>140</v>
      </c>
      <c r="AG3" s="33" t="s">
        <v>140</v>
      </c>
      <c r="AH3" s="33" t="s">
        <v>140</v>
      </c>
      <c r="AI3" s="33" t="e">
        <f>IF(AND(AVERAGE('Resultado Analisis suelos '!B7:C7)&gt;=6.5,AVERAGE('Resultado Analisis suelos '!B7:C7)&lt;=7.5),'Parametros de referencia'!AJ3,'Parametros de referencia'!AK3)</f>
        <v>#DIV/0!</v>
      </c>
      <c r="AJ3" s="33">
        <v>0.9</v>
      </c>
      <c r="AK3" s="33">
        <v>0.75</v>
      </c>
      <c r="AL3" s="33" t="s">
        <v>159</v>
      </c>
    </row>
    <row r="4" spans="2:38" x14ac:dyDescent="0.25">
      <c r="B4" s="4" t="s">
        <v>18</v>
      </c>
      <c r="C4" s="4">
        <v>0.2</v>
      </c>
      <c r="D4" s="4" t="s">
        <v>4</v>
      </c>
      <c r="F4" s="4" t="s">
        <v>49</v>
      </c>
      <c r="G4" s="4">
        <v>0.82</v>
      </c>
      <c r="H4" s="4">
        <v>0.76</v>
      </c>
      <c r="I4" s="4">
        <v>0.68</v>
      </c>
      <c r="J4" s="4">
        <v>1.03</v>
      </c>
      <c r="K4" s="4">
        <v>1.18</v>
      </c>
      <c r="L4" s="151">
        <v>1.3</v>
      </c>
      <c r="N4" s="31" t="s">
        <v>112</v>
      </c>
      <c r="O4" s="31" t="s">
        <v>113</v>
      </c>
      <c r="P4" s="31" t="s">
        <v>119</v>
      </c>
      <c r="Q4" s="31" t="s">
        <v>297</v>
      </c>
      <c r="R4" s="31" t="s">
        <v>115</v>
      </c>
      <c r="S4" s="31" t="s">
        <v>116</v>
      </c>
      <c r="U4" s="32" t="s">
        <v>128</v>
      </c>
      <c r="V4" s="33" t="s">
        <v>140</v>
      </c>
      <c r="W4" s="33" t="s">
        <v>140</v>
      </c>
      <c r="X4" s="33">
        <v>0.03</v>
      </c>
      <c r="Y4" s="33">
        <v>0.06</v>
      </c>
      <c r="Z4" s="33" t="s">
        <v>140</v>
      </c>
      <c r="AA4" s="33">
        <v>0.18</v>
      </c>
      <c r="AB4" s="33">
        <v>9.4E-2</v>
      </c>
      <c r="AC4" s="33" t="s">
        <v>140</v>
      </c>
      <c r="AD4" s="33">
        <v>0.03</v>
      </c>
      <c r="AE4" s="33" t="s">
        <v>140</v>
      </c>
      <c r="AF4" s="33">
        <v>0.15</v>
      </c>
      <c r="AG4" s="33">
        <v>6.0000000000000001E-3</v>
      </c>
      <c r="AH4" s="33" t="s">
        <v>140</v>
      </c>
      <c r="AI4" s="102">
        <v>1</v>
      </c>
      <c r="AJ4" s="102">
        <v>1</v>
      </c>
      <c r="AK4" s="102">
        <v>1</v>
      </c>
      <c r="AL4" s="33"/>
    </row>
    <row r="5" spans="2:38" x14ac:dyDescent="0.25">
      <c r="B5" s="4" t="s">
        <v>7</v>
      </c>
      <c r="C5" s="4">
        <v>0.05</v>
      </c>
      <c r="D5" s="4" t="s">
        <v>8</v>
      </c>
      <c r="F5" s="4" t="s">
        <v>50</v>
      </c>
      <c r="G5" s="4">
        <v>0.17</v>
      </c>
      <c r="H5" s="4">
        <v>0.11</v>
      </c>
      <c r="I5" s="4">
        <v>0.11</v>
      </c>
      <c r="J5" s="4">
        <v>0.22</v>
      </c>
      <c r="K5" s="4">
        <v>0.24</v>
      </c>
      <c r="L5" s="151">
        <v>0.2</v>
      </c>
      <c r="N5" s="4">
        <v>0.8</v>
      </c>
      <c r="O5" s="4">
        <v>0.75</v>
      </c>
      <c r="P5" s="4">
        <v>0.5</v>
      </c>
      <c r="Q5" s="4">
        <v>0.3</v>
      </c>
      <c r="R5" s="4">
        <v>0.5</v>
      </c>
      <c r="S5" s="4">
        <v>0.75</v>
      </c>
      <c r="U5" s="32" t="s">
        <v>129</v>
      </c>
      <c r="V5" s="33" t="s">
        <v>140</v>
      </c>
      <c r="W5" s="33">
        <v>0.05</v>
      </c>
      <c r="X5" s="33" t="s">
        <v>140</v>
      </c>
      <c r="Y5" s="33">
        <v>5.8000000000000003E-2</v>
      </c>
      <c r="Z5" s="33">
        <v>0.18</v>
      </c>
      <c r="AA5" s="33">
        <v>0.25</v>
      </c>
      <c r="AB5" s="33">
        <v>0.05</v>
      </c>
      <c r="AC5" s="33">
        <v>0.03</v>
      </c>
      <c r="AD5" s="33">
        <v>0.01</v>
      </c>
      <c r="AE5" s="33">
        <v>0.01</v>
      </c>
      <c r="AF5" s="33">
        <v>0.03</v>
      </c>
      <c r="AG5" s="33">
        <v>2E-3</v>
      </c>
      <c r="AH5" s="33" t="s">
        <v>140</v>
      </c>
      <c r="AI5" s="102">
        <v>1</v>
      </c>
      <c r="AJ5" s="102">
        <v>1</v>
      </c>
      <c r="AK5" s="102">
        <v>1</v>
      </c>
      <c r="AL5" s="33"/>
    </row>
    <row r="6" spans="2:38" x14ac:dyDescent="0.25">
      <c r="B6" s="4" t="s">
        <v>9</v>
      </c>
      <c r="C6" s="4">
        <v>0.01</v>
      </c>
      <c r="D6" s="4" t="s">
        <v>8</v>
      </c>
      <c r="F6" s="4" t="s">
        <v>51</v>
      </c>
      <c r="G6" s="4">
        <v>1.01</v>
      </c>
      <c r="H6" s="4">
        <v>1.1299999999999999</v>
      </c>
      <c r="I6" s="4">
        <v>1.05</v>
      </c>
      <c r="J6" s="4">
        <v>1.43</v>
      </c>
      <c r="K6" s="4">
        <v>1.51</v>
      </c>
      <c r="L6" s="151">
        <v>2.5</v>
      </c>
      <c r="U6" s="32" t="s">
        <v>134</v>
      </c>
      <c r="V6" s="33">
        <v>0.03</v>
      </c>
      <c r="W6" s="33" t="s">
        <v>140</v>
      </c>
      <c r="X6" s="33" t="s">
        <v>140</v>
      </c>
      <c r="Y6" s="33">
        <v>0.06</v>
      </c>
      <c r="Z6" s="33" t="s">
        <v>140</v>
      </c>
      <c r="AA6" s="33">
        <v>0.17</v>
      </c>
      <c r="AB6" s="33" t="s">
        <v>140</v>
      </c>
      <c r="AC6" s="33" t="s">
        <v>140</v>
      </c>
      <c r="AD6" s="33">
        <v>2.5000000000000001E-2</v>
      </c>
      <c r="AE6" s="33" t="s">
        <v>140</v>
      </c>
      <c r="AF6" s="33">
        <v>0.15</v>
      </c>
      <c r="AG6" s="33">
        <v>5.0000000000000001E-3</v>
      </c>
      <c r="AH6" s="33" t="s">
        <v>140</v>
      </c>
      <c r="AI6" s="102">
        <v>1</v>
      </c>
      <c r="AJ6" s="102">
        <v>1</v>
      </c>
      <c r="AK6" s="102">
        <v>1</v>
      </c>
      <c r="AL6" s="33"/>
    </row>
    <row r="7" spans="2:38" x14ac:dyDescent="0.25">
      <c r="B7" s="97" t="s">
        <v>277</v>
      </c>
      <c r="C7" s="97">
        <v>0.5</v>
      </c>
      <c r="D7" s="97" t="s">
        <v>8</v>
      </c>
      <c r="F7" s="4" t="s">
        <v>52</v>
      </c>
      <c r="G7" s="4">
        <v>0.2</v>
      </c>
      <c r="H7" s="4">
        <v>0.15</v>
      </c>
      <c r="I7" s="4">
        <v>0.15</v>
      </c>
      <c r="J7" s="4">
        <v>0.27</v>
      </c>
      <c r="K7" s="4">
        <v>0.32</v>
      </c>
      <c r="L7" s="151">
        <v>0.3</v>
      </c>
      <c r="N7" s="238" t="s">
        <v>150</v>
      </c>
      <c r="O7" s="240"/>
      <c r="P7" s="242" t="s">
        <v>13</v>
      </c>
      <c r="Q7" s="243"/>
      <c r="R7" s="242" t="s">
        <v>14</v>
      </c>
      <c r="S7" s="243"/>
      <c r="U7" s="32" t="s">
        <v>135</v>
      </c>
      <c r="V7" s="33" t="s">
        <v>140</v>
      </c>
      <c r="W7" s="33" t="s">
        <v>140</v>
      </c>
      <c r="X7" s="33">
        <v>0.6</v>
      </c>
      <c r="Y7" s="33" t="s">
        <v>140</v>
      </c>
      <c r="Z7" s="33" t="s">
        <v>140</v>
      </c>
      <c r="AA7" s="33" t="s">
        <v>140</v>
      </c>
      <c r="AB7" s="33" t="s">
        <v>140</v>
      </c>
      <c r="AC7" s="33" t="s">
        <v>140</v>
      </c>
      <c r="AD7" s="33" t="s">
        <v>140</v>
      </c>
      <c r="AE7" s="33" t="s">
        <v>140</v>
      </c>
      <c r="AF7" s="33" t="s">
        <v>140</v>
      </c>
      <c r="AG7" s="33" t="s">
        <v>140</v>
      </c>
      <c r="AH7" s="33">
        <v>0.46</v>
      </c>
      <c r="AI7" s="33" t="e">
        <f>IF(AVERAGE('Resultado Analisis suelos '!B25:C25)&lt;70,'Parametros de referencia'!AJ$7,'Parametros de referencia'!AK$7)</f>
        <v>#DIV/0!</v>
      </c>
      <c r="AJ7" s="33">
        <v>0.75</v>
      </c>
      <c r="AK7" s="33">
        <v>0.5</v>
      </c>
      <c r="AL7" s="33" t="s">
        <v>272</v>
      </c>
    </row>
    <row r="8" spans="2:38" x14ac:dyDescent="0.25">
      <c r="B8" s="238" t="s">
        <v>65</v>
      </c>
      <c r="C8" s="239"/>
      <c r="D8" s="240"/>
      <c r="F8" s="4" t="s">
        <v>53</v>
      </c>
      <c r="G8" s="4">
        <v>0.41</v>
      </c>
      <c r="H8" s="4">
        <v>0.32</v>
      </c>
      <c r="I8" s="4">
        <v>0.34</v>
      </c>
      <c r="J8" s="4">
        <v>0.52</v>
      </c>
      <c r="K8" s="4">
        <v>0.64</v>
      </c>
      <c r="L8" s="151">
        <v>0.6</v>
      </c>
      <c r="N8" s="238" t="s">
        <v>24</v>
      </c>
      <c r="O8" s="240"/>
      <c r="P8" s="238" t="s">
        <v>117</v>
      </c>
      <c r="Q8" s="240"/>
      <c r="R8" s="238" t="s">
        <v>118</v>
      </c>
      <c r="S8" s="240"/>
      <c r="U8" s="32" t="s">
        <v>136</v>
      </c>
      <c r="V8" s="33" t="s">
        <v>140</v>
      </c>
      <c r="W8" s="33">
        <v>0.03</v>
      </c>
      <c r="X8" s="33">
        <v>0.2</v>
      </c>
      <c r="Y8" s="33">
        <v>0.02</v>
      </c>
      <c r="Z8" s="33">
        <v>0.02</v>
      </c>
      <c r="AA8" s="33" t="s">
        <v>140</v>
      </c>
      <c r="AB8" s="33" t="s">
        <v>140</v>
      </c>
      <c r="AC8" s="33">
        <v>5.0000000000000001E-3</v>
      </c>
      <c r="AD8" s="33">
        <v>5.0000000000000001E-3</v>
      </c>
      <c r="AE8" s="33">
        <v>0.01</v>
      </c>
      <c r="AF8" s="33">
        <v>5.0000000000000001E-3</v>
      </c>
      <c r="AG8" s="33" t="s">
        <v>140</v>
      </c>
      <c r="AH8" s="33" t="s">
        <v>140</v>
      </c>
      <c r="AI8" s="102">
        <v>1</v>
      </c>
      <c r="AJ8" s="102">
        <v>1</v>
      </c>
      <c r="AK8" s="102">
        <v>1</v>
      </c>
      <c r="AL8" s="33"/>
    </row>
    <row r="9" spans="2:38" x14ac:dyDescent="0.25">
      <c r="B9" s="4" t="s">
        <v>61</v>
      </c>
      <c r="C9" s="4">
        <v>10000</v>
      </c>
      <c r="D9" s="4" t="s">
        <v>62</v>
      </c>
      <c r="F9" s="237" t="s">
        <v>298</v>
      </c>
      <c r="G9" s="237"/>
      <c r="H9" s="237"/>
      <c r="I9" s="237"/>
      <c r="J9" s="237"/>
      <c r="K9" s="237"/>
      <c r="L9" s="237"/>
      <c r="N9" s="31" t="s">
        <v>112</v>
      </c>
      <c r="O9" s="31" t="s">
        <v>113</v>
      </c>
      <c r="P9" s="31" t="s">
        <v>119</v>
      </c>
      <c r="Q9" s="31" t="s">
        <v>114</v>
      </c>
      <c r="R9" s="31" t="s">
        <v>115</v>
      </c>
      <c r="S9" s="31" t="s">
        <v>116</v>
      </c>
      <c r="U9" s="32" t="s">
        <v>130</v>
      </c>
      <c r="V9" s="33" t="s">
        <v>140</v>
      </c>
      <c r="W9" s="33">
        <v>0.36</v>
      </c>
      <c r="X9" s="33" t="s">
        <v>140</v>
      </c>
      <c r="Y9" s="33"/>
      <c r="Z9" s="33">
        <v>0.25</v>
      </c>
      <c r="AA9" s="33" t="s">
        <v>140</v>
      </c>
      <c r="AB9" s="33" t="s">
        <v>140</v>
      </c>
      <c r="AC9" s="33" t="s">
        <v>140</v>
      </c>
      <c r="AD9" s="33" t="s">
        <v>140</v>
      </c>
      <c r="AE9" s="33" t="s">
        <v>140</v>
      </c>
      <c r="AF9" s="33" t="s">
        <v>140</v>
      </c>
      <c r="AG9" s="33" t="s">
        <v>140</v>
      </c>
      <c r="AH9" s="33" t="s">
        <v>140</v>
      </c>
      <c r="AI9" s="33" t="e">
        <f>IF(6.5&lt;AVERAGE('Resultado Analisis suelos '!B7:C7)&lt;7.5,'Parametros de referencia'!AJ9,'Parametros de referencia'!AK9)</f>
        <v>#DIV/0!</v>
      </c>
      <c r="AJ9" s="33">
        <v>0.5</v>
      </c>
      <c r="AK9" s="33">
        <v>0.3</v>
      </c>
      <c r="AL9" s="33"/>
    </row>
    <row r="10" spans="2:38" x14ac:dyDescent="0.25">
      <c r="B10" s="4" t="s">
        <v>66</v>
      </c>
      <c r="C10" s="4">
        <v>1000</v>
      </c>
      <c r="D10" s="4" t="s">
        <v>63</v>
      </c>
      <c r="F10" s="4" t="s">
        <v>54</v>
      </c>
      <c r="G10" s="4">
        <v>0.08</v>
      </c>
      <c r="H10" s="4">
        <v>0.06</v>
      </c>
      <c r="I10" s="4">
        <v>0.05</v>
      </c>
      <c r="J10" s="4">
        <v>0.09</v>
      </c>
      <c r="K10" s="4">
        <v>0.06</v>
      </c>
      <c r="L10" s="4">
        <f>AVERAGE(G10:K10)</f>
        <v>6.8000000000000005E-2</v>
      </c>
      <c r="N10" s="4">
        <v>0.8</v>
      </c>
      <c r="O10" s="4"/>
      <c r="P10" s="4"/>
      <c r="Q10" s="4"/>
      <c r="R10" s="4"/>
      <c r="S10" s="4"/>
      <c r="U10" s="32" t="s">
        <v>137</v>
      </c>
      <c r="V10" s="33">
        <v>0.21</v>
      </c>
      <c r="W10" s="33" t="s">
        <v>140</v>
      </c>
      <c r="X10" s="33" t="s">
        <v>140</v>
      </c>
      <c r="Y10" s="33">
        <v>0.24</v>
      </c>
      <c r="Z10" s="33" t="s">
        <v>140</v>
      </c>
      <c r="AA10" s="33" t="s">
        <v>140</v>
      </c>
      <c r="AB10" s="33" t="s">
        <v>140</v>
      </c>
      <c r="AC10" s="33" t="s">
        <v>140</v>
      </c>
      <c r="AD10" s="33" t="s">
        <v>140</v>
      </c>
      <c r="AE10" s="33" t="s">
        <v>140</v>
      </c>
      <c r="AF10" s="33" t="s">
        <v>140</v>
      </c>
      <c r="AG10" s="33" t="s">
        <v>140</v>
      </c>
      <c r="AH10" s="33" t="s">
        <v>140</v>
      </c>
      <c r="AI10" s="102">
        <v>1</v>
      </c>
      <c r="AJ10" s="102">
        <v>1</v>
      </c>
      <c r="AK10" s="102">
        <v>1</v>
      </c>
      <c r="AL10" s="33"/>
    </row>
    <row r="11" spans="2:38" x14ac:dyDescent="0.25">
      <c r="B11" s="4" t="s">
        <v>68</v>
      </c>
      <c r="C11" s="4">
        <v>391</v>
      </c>
      <c r="D11" s="4" t="s">
        <v>67</v>
      </c>
      <c r="F11" s="4" t="s">
        <v>55</v>
      </c>
      <c r="G11" s="4">
        <v>40.380000000000003</v>
      </c>
      <c r="H11" s="4">
        <v>36.619999999999997</v>
      </c>
      <c r="I11" s="4">
        <v>37.83</v>
      </c>
      <c r="J11" s="4">
        <v>66.099999999999994</v>
      </c>
      <c r="K11" s="4">
        <v>77.37</v>
      </c>
      <c r="L11" s="4">
        <f>AVERAGE(G11:K11)</f>
        <v>51.660000000000004</v>
      </c>
      <c r="U11" s="32" t="s">
        <v>131</v>
      </c>
      <c r="V11" s="33" t="s">
        <v>140</v>
      </c>
      <c r="W11" s="33" t="s">
        <v>140</v>
      </c>
      <c r="X11" s="33" t="s">
        <v>140</v>
      </c>
      <c r="Y11" s="33" t="s">
        <v>140</v>
      </c>
      <c r="Z11" s="33">
        <v>0.26</v>
      </c>
      <c r="AA11" s="33">
        <v>1.2E-2</v>
      </c>
      <c r="AB11" s="33" t="s">
        <v>140</v>
      </c>
      <c r="AC11" s="33">
        <v>1.4E-2</v>
      </c>
      <c r="AD11" s="33" t="s">
        <v>140</v>
      </c>
      <c r="AE11" s="33">
        <v>1E-3</v>
      </c>
      <c r="AF11" s="33" t="s">
        <v>140</v>
      </c>
      <c r="AG11" s="33" t="s">
        <v>140</v>
      </c>
      <c r="AH11" s="33" t="s">
        <v>140</v>
      </c>
      <c r="AI11" s="102">
        <v>1</v>
      </c>
      <c r="AJ11" s="102">
        <v>1</v>
      </c>
      <c r="AK11" s="102">
        <v>1</v>
      </c>
      <c r="AL11" s="33"/>
    </row>
    <row r="12" spans="2:38" x14ac:dyDescent="0.25">
      <c r="B12" s="4" t="s">
        <v>69</v>
      </c>
      <c r="C12" s="4">
        <v>200.4</v>
      </c>
      <c r="D12" s="4" t="s">
        <v>67</v>
      </c>
      <c r="F12" s="4" t="s">
        <v>56</v>
      </c>
      <c r="G12" s="4">
        <v>16.440000000000001</v>
      </c>
      <c r="H12" s="4">
        <v>3.38</v>
      </c>
      <c r="I12" s="4">
        <v>3.75</v>
      </c>
      <c r="J12" s="4">
        <v>19.03</v>
      </c>
      <c r="K12" s="4">
        <v>7.4</v>
      </c>
      <c r="L12" s="4">
        <f t="shared" ref="L12:L15" si="0">AVERAGE(G12:K12)</f>
        <v>10</v>
      </c>
      <c r="N12" s="238" t="s">
        <v>138</v>
      </c>
      <c r="O12" s="240"/>
      <c r="P12" s="242" t="s">
        <v>13</v>
      </c>
      <c r="Q12" s="243"/>
      <c r="R12" s="242" t="s">
        <v>14</v>
      </c>
      <c r="S12" s="243"/>
      <c r="U12" s="32" t="s">
        <v>132</v>
      </c>
      <c r="V12" s="33">
        <v>4.6600000000000003E-2</v>
      </c>
      <c r="W12" s="33">
        <v>3.0499999999999999E-2</v>
      </c>
      <c r="X12" s="33">
        <v>3.0200000000000001E-2</v>
      </c>
      <c r="Y12" s="33">
        <v>0.03</v>
      </c>
      <c r="Z12" s="33">
        <v>0.1303</v>
      </c>
      <c r="AA12" s="33">
        <v>0.16739999999999999</v>
      </c>
      <c r="AB12" s="33">
        <v>0.20130000000000001</v>
      </c>
      <c r="AC12" s="33" t="s">
        <v>140</v>
      </c>
      <c r="AD12" s="33" t="s">
        <v>140</v>
      </c>
      <c r="AE12" s="33" t="s">
        <v>140</v>
      </c>
      <c r="AF12" s="33" t="s">
        <v>140</v>
      </c>
      <c r="AG12" s="33" t="s">
        <v>140</v>
      </c>
      <c r="AH12" s="33" t="s">
        <v>140</v>
      </c>
      <c r="AI12" s="102">
        <v>1</v>
      </c>
      <c r="AJ12" s="102">
        <v>1</v>
      </c>
      <c r="AK12" s="102">
        <v>1</v>
      </c>
      <c r="AL12" s="33"/>
    </row>
    <row r="13" spans="2:38" x14ac:dyDescent="0.25">
      <c r="B13" s="4" t="s">
        <v>70</v>
      </c>
      <c r="C13" s="4">
        <v>121.5</v>
      </c>
      <c r="D13" s="4" t="s">
        <v>67</v>
      </c>
      <c r="F13" s="4" t="s">
        <v>57</v>
      </c>
      <c r="G13" s="4">
        <v>0.65</v>
      </c>
      <c r="H13" s="4">
        <v>0.46</v>
      </c>
      <c r="I13" s="4">
        <v>0.51</v>
      </c>
      <c r="J13" s="4">
        <v>0.78</v>
      </c>
      <c r="K13" s="4">
        <v>0.93</v>
      </c>
      <c r="L13" s="4">
        <f t="shared" si="0"/>
        <v>0.66600000000000015</v>
      </c>
      <c r="N13" s="238" t="s">
        <v>24</v>
      </c>
      <c r="O13" s="240"/>
      <c r="P13" s="238" t="s">
        <v>117</v>
      </c>
      <c r="Q13" s="240"/>
      <c r="R13" s="238" t="s">
        <v>118</v>
      </c>
      <c r="S13" s="240"/>
      <c r="U13" s="32" t="s">
        <v>138</v>
      </c>
      <c r="V13" s="33">
        <v>0.4</v>
      </c>
      <c r="W13" s="33" t="s">
        <v>140</v>
      </c>
      <c r="X13" s="33" t="s">
        <v>140</v>
      </c>
      <c r="Y13" s="33">
        <v>0.06</v>
      </c>
      <c r="Z13" s="33" t="s">
        <v>140</v>
      </c>
      <c r="AA13" s="33" t="s">
        <v>140</v>
      </c>
      <c r="AB13" s="33" t="s">
        <v>140</v>
      </c>
      <c r="AC13" s="33" t="s">
        <v>140</v>
      </c>
      <c r="AD13" s="33" t="s">
        <v>140</v>
      </c>
      <c r="AE13" s="33" t="s">
        <v>140</v>
      </c>
      <c r="AF13" s="33" t="s">
        <v>140</v>
      </c>
      <c r="AG13" s="33" t="s">
        <v>140</v>
      </c>
      <c r="AH13" s="33" t="s">
        <v>140</v>
      </c>
      <c r="AI13" s="105" t="e">
        <f>IF(6.5&lt;AVERAGE('Resultado Analisis suelos '!B7:C7)&lt;7.5,'Parametros de referencia'!AJ3,'Parametros de referencia'!AK3)</f>
        <v>#DIV/0!</v>
      </c>
      <c r="AJ13" s="33">
        <v>0.9</v>
      </c>
      <c r="AK13" s="33">
        <v>0.75</v>
      </c>
      <c r="AL13" s="33"/>
    </row>
    <row r="14" spans="2:38" x14ac:dyDescent="0.25">
      <c r="B14" s="4" t="s">
        <v>71</v>
      </c>
      <c r="C14" s="4">
        <v>229</v>
      </c>
      <c r="D14" s="4" t="s">
        <v>67</v>
      </c>
      <c r="F14" s="4" t="s">
        <v>58</v>
      </c>
      <c r="G14" s="4">
        <v>0.73</v>
      </c>
      <c r="H14" s="4">
        <v>0.92</v>
      </c>
      <c r="I14" s="4">
        <v>0.91</v>
      </c>
      <c r="J14" s="4">
        <v>1.25</v>
      </c>
      <c r="K14" s="4">
        <v>1.27</v>
      </c>
      <c r="L14" s="4">
        <f t="shared" si="0"/>
        <v>1.016</v>
      </c>
      <c r="N14" s="31" t="s">
        <v>112</v>
      </c>
      <c r="O14" s="31" t="s">
        <v>113</v>
      </c>
      <c r="P14" s="31" t="s">
        <v>119</v>
      </c>
      <c r="Q14" s="31" t="s">
        <v>114</v>
      </c>
      <c r="R14" s="31" t="s">
        <v>115</v>
      </c>
      <c r="S14" s="31" t="s">
        <v>116</v>
      </c>
      <c r="U14" s="32" t="s">
        <v>139</v>
      </c>
      <c r="V14" s="33">
        <v>0.18</v>
      </c>
      <c r="W14" s="33">
        <v>0.46</v>
      </c>
      <c r="X14" s="33" t="s">
        <v>140</v>
      </c>
      <c r="Y14" s="33" t="s">
        <v>140</v>
      </c>
      <c r="Z14" s="33" t="s">
        <v>140</v>
      </c>
      <c r="AA14" s="33" t="s">
        <v>140</v>
      </c>
      <c r="AB14" s="33" t="s">
        <v>140</v>
      </c>
      <c r="AC14" s="33" t="s">
        <v>140</v>
      </c>
      <c r="AD14" s="33" t="s">
        <v>140</v>
      </c>
      <c r="AE14" s="33" t="s">
        <v>140</v>
      </c>
      <c r="AF14" s="33" t="s">
        <v>140</v>
      </c>
      <c r="AG14" s="33" t="s">
        <v>140</v>
      </c>
      <c r="AH14" s="33" t="s">
        <v>140</v>
      </c>
      <c r="AI14" s="33" t="e">
        <f>IF(AND(AVERAGE('Resultado Analisis suelos '!B7:C7)&gt;=6.5,AVERAGE('Resultado Analisis suelos '!B7:C7)&lt;=7.5),'Parametros de referencia'!AJ14,'Parametros de referencia'!AK14)</f>
        <v>#DIV/0!</v>
      </c>
      <c r="AJ14" s="33">
        <v>0.5</v>
      </c>
      <c r="AK14" s="33">
        <v>0.3</v>
      </c>
      <c r="AL14" s="33" t="s">
        <v>271</v>
      </c>
    </row>
    <row r="15" spans="2:38" x14ac:dyDescent="0.25">
      <c r="B15" s="4" t="s">
        <v>72</v>
      </c>
      <c r="C15" s="4">
        <v>89.9</v>
      </c>
      <c r="D15" s="4" t="s">
        <v>67</v>
      </c>
      <c r="F15" s="4" t="s">
        <v>59</v>
      </c>
      <c r="G15" s="4">
        <v>0.47</v>
      </c>
      <c r="H15" s="4">
        <v>0.48</v>
      </c>
      <c r="I15" s="4">
        <v>0.43</v>
      </c>
      <c r="J15" s="4">
        <v>0.61</v>
      </c>
      <c r="K15" s="4">
        <v>0.67</v>
      </c>
      <c r="L15" s="4">
        <f t="shared" si="0"/>
        <v>0.53199999999999992</v>
      </c>
      <c r="N15" s="4">
        <v>0.9</v>
      </c>
      <c r="O15" s="4">
        <v>0.75</v>
      </c>
      <c r="P15" s="4">
        <v>0.5</v>
      </c>
      <c r="Q15" s="4">
        <v>0.3</v>
      </c>
      <c r="R15" s="4">
        <v>0.5</v>
      </c>
      <c r="S15" s="4">
        <v>0.75</v>
      </c>
      <c r="U15" s="32" t="s">
        <v>151</v>
      </c>
      <c r="V15" s="33" t="s">
        <v>140</v>
      </c>
      <c r="W15" s="33">
        <v>0.46</v>
      </c>
      <c r="X15" s="33" t="s">
        <v>140</v>
      </c>
      <c r="Y15" s="33" t="s">
        <v>140</v>
      </c>
      <c r="Z15" s="33" t="s">
        <v>140</v>
      </c>
      <c r="AA15" s="33" t="s">
        <v>140</v>
      </c>
      <c r="AB15" s="33" t="s">
        <v>140</v>
      </c>
      <c r="AC15" s="33" t="s">
        <v>140</v>
      </c>
      <c r="AD15" s="33" t="s">
        <v>140</v>
      </c>
      <c r="AE15" s="33" t="s">
        <v>140</v>
      </c>
      <c r="AF15" s="33" t="s">
        <v>140</v>
      </c>
      <c r="AG15" s="33" t="s">
        <v>140</v>
      </c>
      <c r="AH15" s="33" t="s">
        <v>140</v>
      </c>
      <c r="AI15" s="105" t="e">
        <f>IF(6.5&lt;AVERAGE('Resultado Analisis suelos '!B7:C7)&lt;7.5,'Parametros de referencia'!AJ14,'Parametros de referencia'!AK14)</f>
        <v>#DIV/0!</v>
      </c>
      <c r="AJ15" s="33">
        <v>0.5</v>
      </c>
      <c r="AK15" s="33">
        <v>0.3</v>
      </c>
      <c r="AL15" s="33"/>
    </row>
    <row r="16" spans="2:38" x14ac:dyDescent="0.25">
      <c r="B16" s="4" t="s">
        <v>73</v>
      </c>
      <c r="C16" s="4">
        <v>327</v>
      </c>
      <c r="D16" s="4" t="s">
        <v>67</v>
      </c>
      <c r="U16" s="32" t="s">
        <v>333</v>
      </c>
      <c r="V16" s="33">
        <v>0.1</v>
      </c>
      <c r="W16" s="33">
        <v>0.5</v>
      </c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33" t="e">
        <f>IF(AND(AVERAGE('Resultado Analisis suelos '!B7:C97)&gt;=6.5,AVERAGE('Resultado Analisis suelos '!B7:C7)&lt;=7.5),'Parametros de referencia'!AJ16,'Parametros de referencia'!AK16)</f>
        <v>#DIV/0!</v>
      </c>
      <c r="AJ16" s="33">
        <v>0.5</v>
      </c>
      <c r="AK16" s="33">
        <v>0.3</v>
      </c>
      <c r="AL16" s="106"/>
    </row>
    <row r="17" spans="2:23" x14ac:dyDescent="0.25">
      <c r="B17" s="4" t="s">
        <v>74</v>
      </c>
      <c r="C17" s="4">
        <v>1000000</v>
      </c>
      <c r="D17" s="4" t="s">
        <v>75</v>
      </c>
    </row>
    <row r="21" spans="2:23" x14ac:dyDescent="0.25">
      <c r="U21" s="31" t="s">
        <v>292</v>
      </c>
    </row>
    <row r="22" spans="2:23" x14ac:dyDescent="0.25">
      <c r="U22" s="4" t="s">
        <v>133</v>
      </c>
    </row>
    <row r="23" spans="2:23" x14ac:dyDescent="0.25">
      <c r="U23" s="4" t="s">
        <v>137</v>
      </c>
    </row>
    <row r="24" spans="2:23" x14ac:dyDescent="0.25">
      <c r="U24" s="4" t="s">
        <v>138</v>
      </c>
    </row>
    <row r="25" spans="2:23" x14ac:dyDescent="0.25">
      <c r="U25" s="99"/>
    </row>
    <row r="26" spans="2:23" x14ac:dyDescent="0.25">
      <c r="U26" s="31" t="s">
        <v>293</v>
      </c>
    </row>
    <row r="27" spans="2:23" x14ac:dyDescent="0.25">
      <c r="U27" s="4" t="s">
        <v>139</v>
      </c>
      <c r="W27" s="99"/>
    </row>
    <row r="28" spans="2:23" x14ac:dyDescent="0.25">
      <c r="U28" s="4" t="s">
        <v>130</v>
      </c>
    </row>
    <row r="29" spans="2:23" x14ac:dyDescent="0.25">
      <c r="U29" s="4" t="s">
        <v>333</v>
      </c>
    </row>
    <row r="30" spans="2:23" x14ac:dyDescent="0.25">
      <c r="U30" s="31" t="s">
        <v>294</v>
      </c>
    </row>
    <row r="31" spans="2:23" x14ac:dyDescent="0.25">
      <c r="U31" s="4" t="s">
        <v>135</v>
      </c>
    </row>
    <row r="32" spans="2:23" x14ac:dyDescent="0.25">
      <c r="U32" s="99"/>
    </row>
    <row r="33" spans="21:21" x14ac:dyDescent="0.25">
      <c r="U33" s="31" t="s">
        <v>295</v>
      </c>
    </row>
    <row r="34" spans="21:21" x14ac:dyDescent="0.25">
      <c r="U34" s="32" t="s">
        <v>128</v>
      </c>
    </row>
    <row r="35" spans="21:21" x14ac:dyDescent="0.25">
      <c r="U35" s="32" t="s">
        <v>129</v>
      </c>
    </row>
    <row r="36" spans="21:21" x14ac:dyDescent="0.25">
      <c r="U36" s="32" t="s">
        <v>134</v>
      </c>
    </row>
    <row r="37" spans="21:21" x14ac:dyDescent="0.25">
      <c r="U37" s="100" t="s">
        <v>136</v>
      </c>
    </row>
    <row r="38" spans="21:21" x14ac:dyDescent="0.25">
      <c r="U38" s="101"/>
    </row>
  </sheetData>
  <mergeCells count="28">
    <mergeCell ref="B1:D1"/>
    <mergeCell ref="B8:D8"/>
    <mergeCell ref="N2:O2"/>
    <mergeCell ref="R3:S3"/>
    <mergeCell ref="P3:Q3"/>
    <mergeCell ref="N3:O3"/>
    <mergeCell ref="R2:S2"/>
    <mergeCell ref="P2:Q2"/>
    <mergeCell ref="N7:O7"/>
    <mergeCell ref="P7:Q7"/>
    <mergeCell ref="R7:S7"/>
    <mergeCell ref="F1:L1"/>
    <mergeCell ref="F2:L2"/>
    <mergeCell ref="F9:L9"/>
    <mergeCell ref="N1:S1"/>
    <mergeCell ref="AL1:AL2"/>
    <mergeCell ref="N13:O13"/>
    <mergeCell ref="P13:Q13"/>
    <mergeCell ref="R13:S13"/>
    <mergeCell ref="N8:O8"/>
    <mergeCell ref="P8:Q8"/>
    <mergeCell ref="R8:S8"/>
    <mergeCell ref="N12:O12"/>
    <mergeCell ref="P12:Q12"/>
    <mergeCell ref="R12:S12"/>
    <mergeCell ref="AJ1:AK1"/>
    <mergeCell ref="AI1:AI2"/>
    <mergeCell ref="U1:AH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 STE</vt:lpstr>
      <vt:lpstr>Resultado Analisis suelos </vt:lpstr>
      <vt:lpstr>Determinacion de Dosis</vt:lpstr>
      <vt:lpstr>Parametros de referencia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Rubiano Salamanca</dc:creator>
  <cp:lastModifiedBy>Estudiante Agricultura de Precision 2</cp:lastModifiedBy>
  <dcterms:created xsi:type="dcterms:W3CDTF">2023-05-04T15:17:29Z</dcterms:created>
  <dcterms:modified xsi:type="dcterms:W3CDTF">2024-09-03T21:10:26Z</dcterms:modified>
</cp:coreProperties>
</file>