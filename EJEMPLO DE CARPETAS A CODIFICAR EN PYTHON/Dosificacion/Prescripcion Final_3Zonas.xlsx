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Z:\MUESTREO DE SUELOS\SuertesAnalisis\.EJEMPLO\Dosificacion\"/>
    </mc:Choice>
  </mc:AlternateContent>
  <xr:revisionPtr revIDLastSave="0" documentId="13_ncr:1_{10AE3F5E-BDB1-46F9-BA46-88F8EE6939D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Informacion STE" sheetId="4" r:id="rId1"/>
    <sheet name="Resultado Analisis suelos " sheetId="3" r:id="rId2"/>
    <sheet name="Determinacion de Dosis" sheetId="1" r:id="rId3"/>
    <sheet name="Parametros de referencia" sheetId="2" r:id="rId4"/>
  </sheets>
  <definedNames>
    <definedName name="_xlnm._FilterDatabase" localSheetId="0" hidden="1">'Informacion STE'!$E$1:$M$1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T5" i="1"/>
  <c r="R5" i="1"/>
  <c r="R4" i="1"/>
  <c r="D5" i="1"/>
  <c r="H4" i="1"/>
  <c r="D3" i="1"/>
  <c r="AI3" i="2"/>
  <c r="C19" i="4"/>
  <c r="C18" i="4"/>
  <c r="C17" i="4"/>
  <c r="A38" i="1" l="1"/>
  <c r="A31" i="1"/>
  <c r="A24" i="1"/>
  <c r="A17" i="1"/>
  <c r="A10" i="1"/>
  <c r="E19" i="1" l="1"/>
  <c r="F19" i="1" s="1"/>
  <c r="G19" i="1" s="1"/>
  <c r="D19" i="1"/>
  <c r="E12" i="1"/>
  <c r="G12" i="1" s="1"/>
  <c r="D12" i="1"/>
  <c r="E5" i="1"/>
  <c r="F5" i="1" s="1"/>
  <c r="G5" i="1" s="1"/>
  <c r="C5" i="1"/>
  <c r="C4" i="1"/>
  <c r="D29" i="3"/>
  <c r="D28" i="3"/>
  <c r="D27" i="3"/>
  <c r="D26" i="3"/>
  <c r="D25" i="3"/>
  <c r="P19" i="1" s="1"/>
  <c r="D24" i="3"/>
  <c r="D23" i="3"/>
  <c r="D22" i="3"/>
  <c r="D21" i="3"/>
  <c r="C25" i="3"/>
  <c r="B25" i="3"/>
  <c r="C11" i="1" l="1"/>
  <c r="T3" i="1"/>
  <c r="C19" i="1"/>
  <c r="U3" i="1"/>
  <c r="C12" i="1"/>
  <c r="B7" i="4"/>
  <c r="AI13" i="2"/>
  <c r="AI9" i="2"/>
  <c r="AI15" i="2"/>
  <c r="B24" i="3"/>
  <c r="E39" i="1" l="1"/>
  <c r="G39" i="1" s="1"/>
  <c r="E38" i="1"/>
  <c r="G38" i="1" s="1"/>
  <c r="AI14" i="2"/>
  <c r="E4" i="1"/>
  <c r="F4" i="1" s="1"/>
  <c r="G4" i="1" s="1"/>
  <c r="E3" i="1"/>
  <c r="F3" i="1" s="1"/>
  <c r="G3" i="1" s="1"/>
  <c r="C18" i="1"/>
  <c r="C3" i="1"/>
  <c r="E32" i="1"/>
  <c r="G32" i="1" s="1"/>
  <c r="E31" i="1"/>
  <c r="G31" i="1" s="1"/>
  <c r="E25" i="1"/>
  <c r="G25" i="1" s="1"/>
  <c r="E24" i="1"/>
  <c r="G24" i="1" s="1"/>
  <c r="E18" i="1"/>
  <c r="F18" i="1" s="1"/>
  <c r="G18" i="1" s="1"/>
  <c r="E17" i="1"/>
  <c r="F17" i="1" s="1"/>
  <c r="G17" i="1" s="1"/>
  <c r="E11" i="1"/>
  <c r="G11" i="1" s="1"/>
  <c r="E10" i="1"/>
  <c r="G10" i="1" s="1"/>
  <c r="D24" i="1"/>
  <c r="D32" i="1"/>
  <c r="B29" i="3"/>
  <c r="B28" i="3"/>
  <c r="B27" i="3"/>
  <c r="B26" i="3"/>
  <c r="B23" i="3"/>
  <c r="B22" i="3"/>
  <c r="B21" i="3"/>
  <c r="C29" i="3"/>
  <c r="C28" i="3"/>
  <c r="C27" i="3"/>
  <c r="C26" i="3"/>
  <c r="C24" i="3"/>
  <c r="C23" i="3"/>
  <c r="C22" i="3"/>
  <c r="C21" i="3"/>
  <c r="L11" i="2"/>
  <c r="L12" i="2"/>
  <c r="L13" i="2"/>
  <c r="L14" i="2"/>
  <c r="L15" i="2"/>
  <c r="L10" i="2"/>
  <c r="L5" i="2"/>
  <c r="H12" i="1" s="1"/>
  <c r="I12" i="1" s="1"/>
  <c r="L6" i="2"/>
  <c r="L7" i="2"/>
  <c r="L8" i="2"/>
  <c r="L4" i="2"/>
  <c r="H5" i="1" s="1"/>
  <c r="I5" i="1" s="1"/>
  <c r="C24" i="1" l="1"/>
  <c r="V6" i="1"/>
  <c r="W6" i="1" s="1"/>
  <c r="K5" i="1"/>
  <c r="U4" i="1" s="1"/>
  <c r="H19" i="1"/>
  <c r="I19" i="1" s="1"/>
  <c r="O19" i="1"/>
  <c r="K12" i="1"/>
  <c r="L12" i="1" s="1"/>
  <c r="C32" i="1"/>
  <c r="C31" i="1"/>
  <c r="H24" i="1"/>
  <c r="I24" i="1" s="1"/>
  <c r="K24" i="1" s="1"/>
  <c r="L24" i="1" s="1"/>
  <c r="I4" i="1"/>
  <c r="K4" i="1" s="1"/>
  <c r="T4" i="1" s="1"/>
  <c r="H3" i="1"/>
  <c r="I3" i="1" s="1"/>
  <c r="H32" i="1"/>
  <c r="I32" i="1" s="1"/>
  <c r="AI7" i="2"/>
  <c r="D39" i="1"/>
  <c r="H39" i="1" s="1"/>
  <c r="I39" i="1" s="1"/>
  <c r="C38" i="1"/>
  <c r="D38" i="1"/>
  <c r="C39" i="1"/>
  <c r="D10" i="1"/>
  <c r="H10" i="1" s="1"/>
  <c r="I10" i="1" s="1"/>
  <c r="D31" i="1"/>
  <c r="H31" i="1" s="1"/>
  <c r="C10" i="1"/>
  <c r="C17" i="1"/>
  <c r="D17" i="1"/>
  <c r="O17" i="1" s="1"/>
  <c r="P17" i="1" s="1"/>
  <c r="D11" i="1"/>
  <c r="H11" i="1" s="1"/>
  <c r="D18" i="1"/>
  <c r="O18" i="1" s="1"/>
  <c r="D25" i="1"/>
  <c r="H25" i="1" s="1"/>
  <c r="C25" i="1"/>
  <c r="K3" i="1" l="1"/>
  <c r="S4" i="1" s="1"/>
  <c r="V4" i="1" s="1"/>
  <c r="W4" i="1" s="1"/>
  <c r="P18" i="1"/>
  <c r="Q18" i="1" s="1"/>
  <c r="K19" i="1"/>
  <c r="L19" i="1" s="1"/>
  <c r="Q19" i="1"/>
  <c r="Q17" i="1"/>
  <c r="S5" i="1" s="1"/>
  <c r="V5" i="1" s="1"/>
  <c r="W5" i="1" s="1"/>
  <c r="H18" i="1"/>
  <c r="I18" i="1" s="1"/>
  <c r="K18" i="1" s="1"/>
  <c r="L18" i="1" s="1"/>
  <c r="H17" i="1"/>
  <c r="I17" i="1" s="1"/>
  <c r="K17" i="1" s="1"/>
  <c r="L17" i="1" s="1"/>
  <c r="H38" i="1"/>
  <c r="I38" i="1" s="1"/>
  <c r="K39" i="1"/>
  <c r="K32" i="1"/>
  <c r="L32" i="1" s="1"/>
  <c r="I31" i="1"/>
  <c r="K38" i="1" s="1"/>
  <c r="I25" i="1"/>
  <c r="K25" i="1" s="1"/>
  <c r="L25" i="1" s="1"/>
  <c r="K10" i="1"/>
  <c r="L10" i="1" s="1"/>
  <c r="I11" i="1"/>
  <c r="K11" i="1" s="1"/>
  <c r="L11" i="1" s="1"/>
  <c r="L39" i="1" l="1"/>
  <c r="K31" i="1"/>
  <c r="L31" i="1" l="1"/>
  <c r="L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Jhon Sebastian Zapata Hoyos</author>
  </authors>
  <commentList>
    <comment ref="N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de Urea</t>
        </r>
      </text>
    </comment>
    <comment ref="O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de: 
Urea - 60%
(NH4)2SO4 - 40%</t>
        </r>
      </text>
    </comment>
    <comment ref="P5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 xml:space="preserve">Jhon Sebastian Zapata Hoyos
</t>
        </r>
        <r>
          <rPr>
            <sz val="9"/>
            <color indexed="81"/>
            <rFont val="Tahoma"/>
            <family val="2"/>
          </rPr>
          <t>Aplicacion de DAP</t>
        </r>
      </text>
    </comment>
    <comment ref="Q5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
SFT
MAP</t>
        </r>
      </text>
    </comment>
    <comment ref="N10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de Urea</t>
        </r>
      </text>
    </comment>
    <comment ref="O10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de: 
Urea - 60%
(NH4)2SO4 - 40%</t>
        </r>
      </text>
    </comment>
    <comment ref="P10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Jhon Sebastian Zapata Hoyos
</t>
        </r>
        <r>
          <rPr>
            <sz val="9"/>
            <color indexed="81"/>
            <rFont val="Tahoma"/>
            <family val="2"/>
          </rPr>
          <t>Aplicacion de DAP</t>
        </r>
      </text>
    </comment>
    <comment ref="Q10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
SFT
MAP</t>
        </r>
      </text>
    </comment>
    <comment ref="N15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de Urea</t>
        </r>
      </text>
    </comment>
    <comment ref="O15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de: 
Urea - 60%
(NH4)2SO4 - 40%</t>
        </r>
      </text>
    </comment>
    <comment ref="P15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Jhon Sebastian Zapata Hoyos
</t>
        </r>
        <r>
          <rPr>
            <sz val="9"/>
            <color indexed="81"/>
            <rFont val="Tahoma"/>
            <family val="2"/>
          </rPr>
          <t>Aplicacion de DAP</t>
        </r>
      </text>
    </comment>
    <comment ref="Q15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
SFT
MAP</t>
        </r>
      </text>
    </comment>
  </commentList>
</comments>
</file>

<file path=xl/sharedStrings.xml><?xml version="1.0" encoding="utf-8"?>
<sst xmlns="http://schemas.openxmlformats.org/spreadsheetml/2006/main" count="604" uniqueCount="344">
  <si>
    <t>Zona</t>
  </si>
  <si>
    <t>Suerte</t>
  </si>
  <si>
    <r>
      <t>Densidad aparente del suelo (</t>
    </r>
    <r>
      <rPr>
        <sz val="10"/>
        <color theme="1"/>
        <rFont val="Calibri"/>
        <family val="2"/>
      </rPr>
      <t>ρ</t>
    </r>
    <r>
      <rPr>
        <sz val="10"/>
        <color theme="1"/>
        <rFont val="Calibri"/>
        <family val="2"/>
        <scheme val="minor"/>
      </rPr>
      <t>)</t>
    </r>
  </si>
  <si>
    <t>Ton/m3</t>
  </si>
  <si>
    <t>m</t>
  </si>
  <si>
    <t>Unidad</t>
  </si>
  <si>
    <t>Valor</t>
  </si>
  <si>
    <t>Cantidad de N en la M.O</t>
  </si>
  <si>
    <t>%</t>
  </si>
  <si>
    <t>Tasa de mineralizacion del N</t>
  </si>
  <si>
    <t>Area Ha</t>
  </si>
  <si>
    <t>Calculo de Nitrogeno</t>
  </si>
  <si>
    <t xml:space="preserve">Parametros de referencia </t>
  </si>
  <si>
    <t>P</t>
  </si>
  <si>
    <t>K</t>
  </si>
  <si>
    <t>Calculo de Fosforo</t>
  </si>
  <si>
    <t>P (ppm)</t>
  </si>
  <si>
    <t>Cantidad de M.O (ton/ha)</t>
  </si>
  <si>
    <t>Profundidad de extraccion (h)</t>
  </si>
  <si>
    <t>Calculo de Potasio</t>
  </si>
  <si>
    <t>K (meq/100 g suelo)</t>
  </si>
  <si>
    <t>ppm [K] disponible suelo</t>
  </si>
  <si>
    <t>Kg/ha [K] disponible suelo</t>
  </si>
  <si>
    <t>Dosis Plantilla (Kg/Ha)</t>
  </si>
  <si>
    <t>pH</t>
  </si>
  <si>
    <t>Arc_mean</t>
  </si>
  <si>
    <t>Aren_mean</t>
  </si>
  <si>
    <t>Lim_mean</t>
  </si>
  <si>
    <t>pH_mean</t>
  </si>
  <si>
    <t>MO%_mean</t>
  </si>
  <si>
    <t>CIC_mean</t>
  </si>
  <si>
    <t>Ca_mean</t>
  </si>
  <si>
    <t>Cu_mean</t>
  </si>
  <si>
    <t>Fe_mean</t>
  </si>
  <si>
    <t>K_mean</t>
  </si>
  <si>
    <t>Mg_mean</t>
  </si>
  <si>
    <t>Mn_mean</t>
  </si>
  <si>
    <t>Na_mean</t>
  </si>
  <si>
    <t>P_mean</t>
  </si>
  <si>
    <t>S_mean</t>
  </si>
  <si>
    <t>Zn_mean</t>
  </si>
  <si>
    <t>TCH_mean</t>
  </si>
  <si>
    <t>Area(Ha)</t>
  </si>
  <si>
    <t xml:space="preserve">Factor de extraccion por Variedad </t>
  </si>
  <si>
    <t>CC 01-1940</t>
  </si>
  <si>
    <t>CC 01-678</t>
  </si>
  <si>
    <t>CC 05-430</t>
  </si>
  <si>
    <t>CC 85-92</t>
  </si>
  <si>
    <t>CC 93-4418</t>
  </si>
  <si>
    <t>Nutriente / Variedad</t>
  </si>
  <si>
    <t>Nitrogeno</t>
  </si>
  <si>
    <t>Fosforo</t>
  </si>
  <si>
    <t>Potasio</t>
  </si>
  <si>
    <t>Magnesio</t>
  </si>
  <si>
    <t>Calcio</t>
  </si>
  <si>
    <t>Azufre</t>
  </si>
  <si>
    <t>Hierro</t>
  </si>
  <si>
    <t>Manganeso</t>
  </si>
  <si>
    <t>Cobre</t>
  </si>
  <si>
    <t>Zinc</t>
  </si>
  <si>
    <t>Boro</t>
  </si>
  <si>
    <t>Promedio</t>
  </si>
  <si>
    <t xml:space="preserve">1 Hectarea </t>
  </si>
  <si>
    <t>m2</t>
  </si>
  <si>
    <t>Kg</t>
  </si>
  <si>
    <t>Parametros del Suelo</t>
  </si>
  <si>
    <t xml:space="preserve">Conversiones </t>
  </si>
  <si>
    <t xml:space="preserve">1 Tonelada </t>
  </si>
  <si>
    <t>ppm</t>
  </si>
  <si>
    <t>1 meq/100gr Suelo K+</t>
  </si>
  <si>
    <t>1 meq/100gr Suelo Ca+2</t>
  </si>
  <si>
    <t>1 meq/100gr Suelo Mg+2</t>
  </si>
  <si>
    <t>1 meq/100gr Suelo Na+</t>
  </si>
  <si>
    <t>1 meq/100gr Suelo AL+3</t>
  </si>
  <si>
    <t>1 meq/100gr Suelo Zn+2</t>
  </si>
  <si>
    <t>1Kg</t>
  </si>
  <si>
    <t>mg</t>
  </si>
  <si>
    <t xml:space="preserve"> M.O</t>
  </si>
  <si>
    <t>Niveles de interpretacion de relaciones iónicas en resultados de análisis de suelos</t>
  </si>
  <si>
    <t>Relaciones iónicas</t>
  </si>
  <si>
    <t>Ideal</t>
  </si>
  <si>
    <t>Rango critico</t>
  </si>
  <si>
    <t>Deficiencia</t>
  </si>
  <si>
    <t>Ca/Mg</t>
  </si>
  <si>
    <t>3 - 4</t>
  </si>
  <si>
    <t>&lt;3</t>
  </si>
  <si>
    <t>&gt;4</t>
  </si>
  <si>
    <t>Mg/K</t>
  </si>
  <si>
    <t>6 - 8</t>
  </si>
  <si>
    <t>&gt;10</t>
  </si>
  <si>
    <t>&lt;5</t>
  </si>
  <si>
    <t>Ca+Mg/K</t>
  </si>
  <si>
    <t>12 - 20</t>
  </si>
  <si>
    <t>&gt;25</t>
  </si>
  <si>
    <t>&lt;10</t>
  </si>
  <si>
    <t>Calcio y/o Magnesio</t>
  </si>
  <si>
    <t>Na/K</t>
  </si>
  <si>
    <t>0,5 - 1</t>
  </si>
  <si>
    <t>&gt;1</t>
  </si>
  <si>
    <t>Ca/K</t>
  </si>
  <si>
    <t>&gt;15</t>
  </si>
  <si>
    <t>Ca/B</t>
  </si>
  <si>
    <t>1000 - 2000</t>
  </si>
  <si>
    <t>&gt;2000</t>
  </si>
  <si>
    <t>Fe/Mn</t>
  </si>
  <si>
    <t>8 - 10</t>
  </si>
  <si>
    <t>&lt;8</t>
  </si>
  <si>
    <t>P/Zn</t>
  </si>
  <si>
    <t xml:space="preserve">8 - 10 </t>
  </si>
  <si>
    <t>&gt;12</t>
  </si>
  <si>
    <t>Fe/Zn</t>
  </si>
  <si>
    <t>13 - 15</t>
  </si>
  <si>
    <t>&lt;13</t>
  </si>
  <si>
    <t xml:space="preserve">N Acido </t>
  </si>
  <si>
    <t xml:space="preserve">Salino </t>
  </si>
  <si>
    <t>&gt;7,5 o &lt;6,5</t>
  </si>
  <si>
    <t>&gt;70</t>
  </si>
  <si>
    <t>&lt;70</t>
  </si>
  <si>
    <t xml:space="preserve">Ph  </t>
  </si>
  <si>
    <t>(Ca+Mg)/K</t>
  </si>
  <si>
    <t>6,5 - 7,5</t>
  </si>
  <si>
    <t>Parametros Fertilizates</t>
  </si>
  <si>
    <t>Eficiencia de Fertilizantes Comité de AP</t>
  </si>
  <si>
    <t xml:space="preserve">N </t>
  </si>
  <si>
    <t>S</t>
  </si>
  <si>
    <t>Ca</t>
  </si>
  <si>
    <t>Si</t>
  </si>
  <si>
    <t>C</t>
  </si>
  <si>
    <t>Fertilizante/ Nutrimento</t>
  </si>
  <si>
    <t>ZINCOFERTIL X 20KG</t>
  </si>
  <si>
    <t>MICROFERTIL X 46KG</t>
  </si>
  <si>
    <t>FOSQUIMINT VEINTE-8</t>
  </si>
  <si>
    <t>SULFATO DE CALCIO ( YESO AGRICOLA)</t>
  </si>
  <si>
    <t>NITRORGANIC FERT. ORGAN EMPRESAGRO</t>
  </si>
  <si>
    <t>UREA ESPECIFICACION</t>
  </si>
  <si>
    <t>BOROZINCO</t>
  </si>
  <si>
    <t>CLORURO DE POTASIO ESPECIFI</t>
  </si>
  <si>
    <t>FERTICANA ESPECIFICACION</t>
  </si>
  <si>
    <t>SULFATO AMONIO-CAMPO ESPEC</t>
  </si>
  <si>
    <t>NITRO XTEND</t>
  </si>
  <si>
    <t>FOSFATO DIAMONICO (DAP)</t>
  </si>
  <si>
    <t>-</t>
  </si>
  <si>
    <t>Mg</t>
  </si>
  <si>
    <t>B</t>
  </si>
  <si>
    <t>Fe</t>
  </si>
  <si>
    <t>Zn</t>
  </si>
  <si>
    <t>Cu</t>
  </si>
  <si>
    <t>Cl</t>
  </si>
  <si>
    <t>K/Mg</t>
  </si>
  <si>
    <t>B_mean</t>
  </si>
  <si>
    <t>Urea</t>
  </si>
  <si>
    <t>SULFATO AMONIO</t>
  </si>
  <si>
    <t>SUPER FOSFATO TRIPLE</t>
  </si>
  <si>
    <t>DAP</t>
  </si>
  <si>
    <t>Calculo de Boro</t>
  </si>
  <si>
    <t>Calculo de Zinc</t>
  </si>
  <si>
    <t xml:space="preserve">Eficiencias </t>
  </si>
  <si>
    <t xml:space="preserve">Observaciones </t>
  </si>
  <si>
    <t xml:space="preserve">Alta </t>
  </si>
  <si>
    <t>Baja</t>
  </si>
  <si>
    <t>Variacion por pH</t>
  </si>
  <si>
    <t xml:space="preserve">NIVELES DE FERTILIDAD PARA RECOMENDACIÓN  EN CAÑA DE  AZUCAR </t>
  </si>
  <si>
    <t xml:space="preserve">ELEMENTO </t>
  </si>
  <si>
    <t xml:space="preserve">UNIDAD </t>
  </si>
  <si>
    <t>BAJO</t>
  </si>
  <si>
    <t xml:space="preserve">  NORMAL </t>
  </si>
  <si>
    <t>ALTO</t>
  </si>
  <si>
    <t>DATO Analisis</t>
  </si>
  <si>
    <t>Calificacion</t>
  </si>
  <si>
    <t>Textura</t>
  </si>
  <si>
    <t>PH</t>
  </si>
  <si>
    <t>MO</t>
  </si>
  <si>
    <t>&lt; 2.0</t>
  </si>
  <si>
    <t>( 2 - 4)</t>
  </si>
  <si>
    <t>&gt;4.0</t>
  </si>
  <si>
    <t>&lt; 5.0</t>
  </si>
  <si>
    <t>( 5 - 10)</t>
  </si>
  <si>
    <t>me/100 g</t>
  </si>
  <si>
    <t>&lt;0.20</t>
  </si>
  <si>
    <t>(0.20 - 0.40)</t>
  </si>
  <si>
    <t>&gt;0.40</t>
  </si>
  <si>
    <t>&lt;3.0</t>
  </si>
  <si>
    <t>( 3 - 6 )</t>
  </si>
  <si>
    <t>&gt;6.0</t>
  </si>
  <si>
    <t>&lt; 1.5</t>
  </si>
  <si>
    <t>(1.5 - 2.5)</t>
  </si>
  <si>
    <t>&gt;2.5</t>
  </si>
  <si>
    <t>Na</t>
  </si>
  <si>
    <t>&lt;0.5</t>
  </si>
  <si>
    <t>&gt;0.50</t>
  </si>
  <si>
    <t>&lt; 6.0</t>
  </si>
  <si>
    <t>( 6 - 12 )</t>
  </si>
  <si>
    <t>&gt;12.0</t>
  </si>
  <si>
    <t>&lt;30</t>
  </si>
  <si>
    <t>(30 - 50)</t>
  </si>
  <si>
    <t>&gt;50</t>
  </si>
  <si>
    <t>Mn</t>
  </si>
  <si>
    <t>&lt;20</t>
  </si>
  <si>
    <t>(20 - 40)</t>
  </si>
  <si>
    <t>&gt;40</t>
  </si>
  <si>
    <t>&lt; 1.0</t>
  </si>
  <si>
    <t>( 1 - 3)</t>
  </si>
  <si>
    <t>&gt;3.0</t>
  </si>
  <si>
    <t>( 1 - 1.5)</t>
  </si>
  <si>
    <t>&gt;1.5</t>
  </si>
  <si>
    <t>&lt; 0.40</t>
  </si>
  <si>
    <t>(0.40 - 0.5)</t>
  </si>
  <si>
    <t>&gt;0.5</t>
  </si>
  <si>
    <t>Mb</t>
  </si>
  <si>
    <t>&lt;0.1</t>
  </si>
  <si>
    <t>&gt;0.1</t>
  </si>
  <si>
    <t>Al</t>
  </si>
  <si>
    <t>( 1 - 2)</t>
  </si>
  <si>
    <t>&gt;2.0</t>
  </si>
  <si>
    <t>Co</t>
  </si>
  <si>
    <t>&lt;0.7</t>
  </si>
  <si>
    <t>(0.7 - 1.0)</t>
  </si>
  <si>
    <t>&gt;1.0</t>
  </si>
  <si>
    <t>C.I.C</t>
  </si>
  <si>
    <t>&lt; 10</t>
  </si>
  <si>
    <t>(10 - 20)</t>
  </si>
  <si>
    <t>&gt;20</t>
  </si>
  <si>
    <t>CE</t>
  </si>
  <si>
    <t>dS/cm</t>
  </si>
  <si>
    <t>0-2</t>
  </si>
  <si>
    <t xml:space="preserve">2 - 3 </t>
  </si>
  <si>
    <t xml:space="preserve">&gt; 3 </t>
  </si>
  <si>
    <t>CALIFICACION DE TEXTURA</t>
  </si>
  <si>
    <t>Arcillosa</t>
  </si>
  <si>
    <t xml:space="preserve">Ar </t>
  </si>
  <si>
    <t xml:space="preserve">Fino - pesado </t>
  </si>
  <si>
    <t xml:space="preserve">Arcillo  Arenosa </t>
  </si>
  <si>
    <t>ArA</t>
  </si>
  <si>
    <t xml:space="preserve">Fino sobre arenoso </t>
  </si>
  <si>
    <t xml:space="preserve">Arcillo Limoso </t>
  </si>
  <si>
    <t>ArL</t>
  </si>
  <si>
    <t xml:space="preserve">Fino sobre arcilloso </t>
  </si>
  <si>
    <t xml:space="preserve">Franco Arcilloso </t>
  </si>
  <si>
    <t>Far</t>
  </si>
  <si>
    <t xml:space="preserve">Medio </t>
  </si>
  <si>
    <t xml:space="preserve">Franco Arcillo Limoso </t>
  </si>
  <si>
    <t>FArL</t>
  </si>
  <si>
    <t xml:space="preserve">Franco Fino Sobre Fino </t>
  </si>
  <si>
    <t xml:space="preserve">Franco Arcillo Arenoso </t>
  </si>
  <si>
    <t>FArA</t>
  </si>
  <si>
    <t>Franco fino sobre grueso</t>
  </si>
  <si>
    <t xml:space="preserve">Franco </t>
  </si>
  <si>
    <t>F</t>
  </si>
  <si>
    <t xml:space="preserve">Suelto </t>
  </si>
  <si>
    <t xml:space="preserve">Franco Arenoso </t>
  </si>
  <si>
    <t>FA</t>
  </si>
  <si>
    <t xml:space="preserve">Franco grueso </t>
  </si>
  <si>
    <t xml:space="preserve">Franco Limoso </t>
  </si>
  <si>
    <t>FL</t>
  </si>
  <si>
    <t>Franco Fino</t>
  </si>
  <si>
    <t>Arenoso Franco</t>
  </si>
  <si>
    <t>AF</t>
  </si>
  <si>
    <t xml:space="preserve">Liviano suelto </t>
  </si>
  <si>
    <t xml:space="preserve">Arenoso </t>
  </si>
  <si>
    <t>A</t>
  </si>
  <si>
    <t xml:space="preserve">Liviano </t>
  </si>
  <si>
    <t xml:space="preserve">Limo </t>
  </si>
  <si>
    <t>L</t>
  </si>
  <si>
    <t>Muy Fino</t>
  </si>
  <si>
    <t>4.5 a 5.0 Muy fuertemente acido</t>
  </si>
  <si>
    <t>5.1 a 5.5 Fuertemente acido</t>
  </si>
  <si>
    <t>5.6 a 6.0 Moderadamente acido</t>
  </si>
  <si>
    <t>6.1 a 6.5 Ligeramente acido</t>
  </si>
  <si>
    <t>6.6 a 7.3  Neutro</t>
  </si>
  <si>
    <t xml:space="preserve">7.4 a 7.8  Ligeramente alcalino </t>
  </si>
  <si>
    <t xml:space="preserve">7.9 a 8.4  Moderadamente alcalino </t>
  </si>
  <si>
    <t xml:space="preserve">8.5 a 9.0  Fuertemente alcalino </t>
  </si>
  <si>
    <t>Variacion de pH (6,5-7,5) Alta - (&gt;7,5 o &lt;6,5) Baja</t>
  </si>
  <si>
    <t>Variacion de Relacion (Ca+Mg)/K (&gt;70) Alta - (&lt;70) Baja</t>
  </si>
  <si>
    <t>Adaptado de Castro y Gomez 2010</t>
  </si>
  <si>
    <t>Kg [Zn] /ha  disponible suelo</t>
  </si>
  <si>
    <t>Kg  [B] /ha  disponible suelo</t>
  </si>
  <si>
    <t xml:space="preserve">Fertilizante </t>
  </si>
  <si>
    <t xml:space="preserve">Absorcion  de N del suelos </t>
  </si>
  <si>
    <t>Kg/ha [P] disponible suelo</t>
  </si>
  <si>
    <t>Kg/ha [N] disponible suelo</t>
  </si>
  <si>
    <t>Kg/ha [P] demandado</t>
  </si>
  <si>
    <t>Kg/ha [N] demandado</t>
  </si>
  <si>
    <t>Kg/ha [K] demandado</t>
  </si>
  <si>
    <t>Kg/ha [B] demandado</t>
  </si>
  <si>
    <t>Kg/ha [Zn] demandado</t>
  </si>
  <si>
    <t>Dosis (Kg/ha  [N])</t>
  </si>
  <si>
    <t>Dosis (Kg/ha  [P])</t>
  </si>
  <si>
    <t>Dosis (Kg/ha  [K])</t>
  </si>
  <si>
    <t>Dosis (Kg/ha  [B])</t>
  </si>
  <si>
    <t>Dosis (Kg/ha  [Zn])</t>
  </si>
  <si>
    <t>Productividad Est (ton/ha)</t>
  </si>
  <si>
    <t>Kg Fert/Ha</t>
  </si>
  <si>
    <t>NITROGENO</t>
  </si>
  <si>
    <t>FOSFORO</t>
  </si>
  <si>
    <t>POTASIO</t>
  </si>
  <si>
    <t>MENORES</t>
  </si>
  <si>
    <t>Eficiencias Seleccionada</t>
  </si>
  <si>
    <t>&gt;7,5 o &gt;&lt;6,5&gt;</t>
  </si>
  <si>
    <t>Menores (gr/THC)</t>
  </si>
  <si>
    <t>Mayores (Kg / THC)</t>
  </si>
  <si>
    <t>Calculo de Hierro</t>
  </si>
  <si>
    <t xml:space="preserve">Hacienda </t>
  </si>
  <si>
    <t xml:space="preserve">Caracteristicas de la Suerte </t>
  </si>
  <si>
    <t xml:space="preserve">Suerte </t>
  </si>
  <si>
    <t xml:space="preserve">Area </t>
  </si>
  <si>
    <t xml:space="preserve">Fecha de Siembra </t>
  </si>
  <si>
    <t xml:space="preserve">Edad Hoy </t>
  </si>
  <si>
    <t># Cortes</t>
  </si>
  <si>
    <t xml:space="preserve">Variedad </t>
  </si>
  <si>
    <t xml:space="preserve">Zona </t>
  </si>
  <si>
    <t>Mayordomo</t>
  </si>
  <si>
    <t xml:space="preserve">Zona Agroecologica </t>
  </si>
  <si>
    <t>Dosis Convencional (Kg/Ha)</t>
  </si>
  <si>
    <t>TCH Actual</t>
  </si>
  <si>
    <t xml:space="preserve">TCH Promedio </t>
  </si>
  <si>
    <t>Mezcla de Productos</t>
  </si>
  <si>
    <t xml:space="preserve">Dosificacion de Potacio por Extraccion </t>
  </si>
  <si>
    <t>Kg/ha [K] Demandado</t>
  </si>
  <si>
    <t>Dosis</t>
  </si>
  <si>
    <t>Kg/ha [Fertilizante]</t>
  </si>
  <si>
    <t>Hacienda</t>
  </si>
  <si>
    <t>Ste</t>
  </si>
  <si>
    <t>Edad</t>
  </si>
  <si>
    <t>Variedad</t>
  </si>
  <si>
    <t>NC</t>
  </si>
  <si>
    <t>Fecha Liquidacion</t>
  </si>
  <si>
    <t>TCH</t>
  </si>
  <si>
    <t>Cod.</t>
  </si>
  <si>
    <t>017002F</t>
  </si>
  <si>
    <t>Area</t>
  </si>
  <si>
    <t>TCH Promedio Ciclo</t>
  </si>
  <si>
    <t>Actual +20%</t>
  </si>
  <si>
    <t>Ppromedio Ciclo + 20%</t>
  </si>
  <si>
    <t>Promedio + 20%</t>
  </si>
  <si>
    <t xml:space="preserve">Resumen de Apicacion </t>
  </si>
  <si>
    <t>Producto</t>
  </si>
  <si>
    <t>Zona 1</t>
  </si>
  <si>
    <t>Zona 2</t>
  </si>
  <si>
    <t>Reserva</t>
  </si>
  <si>
    <t>AREA</t>
  </si>
  <si>
    <t>Total Producto(Kg)</t>
  </si>
  <si>
    <t>Dosis Reserva(Kg/Ha)</t>
  </si>
  <si>
    <t>Zona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</si>
</sst>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0.0000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8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FBDE9"/>
        <bgColor indexed="64"/>
      </patternFill>
    </fill>
    <fill>
      <patternFill patternType="solid">
        <fgColor rgb="FFD3399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44FF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BE49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5" fontId="1" fillId="0" borderId="10" xfId="0" applyNumberFormat="1" applyFont="1" applyBorder="1" applyAlignment="1">
      <alignment horizontal="center"/>
    </xf>
    <xf numFmtId="165" fontId="1" fillId="0" borderId="11" xfId="0" applyNumberFormat="1" applyFont="1" applyBorder="1" applyAlignment="1">
      <alignment horizontal="center"/>
    </xf>
    <xf numFmtId="165" fontId="1" fillId="0" borderId="13" xfId="0" applyNumberFormat="1" applyFont="1" applyBorder="1" applyAlignment="1">
      <alignment horizontal="center"/>
    </xf>
    <xf numFmtId="165" fontId="1" fillId="0" borderId="14" xfId="0" applyNumberFormat="1" applyFont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/>
    </xf>
    <xf numFmtId="165" fontId="1" fillId="0" borderId="10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5" fontId="1" fillId="0" borderId="13" xfId="0" applyNumberFormat="1" applyFont="1" applyBorder="1" applyAlignment="1">
      <alignment horizontal="center" vertical="center"/>
    </xf>
    <xf numFmtId="165" fontId="1" fillId="0" borderId="14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/>
    <xf numFmtId="0" fontId="2" fillId="7" borderId="12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0" fontId="2" fillId="7" borderId="21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0" fontId="1" fillId="0" borderId="1" xfId="1" applyNumberFormat="1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25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164" fontId="9" fillId="10" borderId="1" xfId="0" applyNumberFormat="1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10" fillId="11" borderId="29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11" borderId="13" xfId="0" applyFont="1" applyFill="1" applyBorder="1" applyAlignment="1">
      <alignment horizontal="center"/>
    </xf>
    <xf numFmtId="0" fontId="11" fillId="0" borderId="1" xfId="0" applyFont="1" applyBorder="1"/>
    <xf numFmtId="164" fontId="10" fillId="10" borderId="1" xfId="0" applyNumberFormat="1" applyFont="1" applyFill="1" applyBorder="1" applyAlignment="1">
      <alignment horizontal="center"/>
    </xf>
    <xf numFmtId="49" fontId="10" fillId="2" borderId="1" xfId="0" applyNumberFormat="1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0" xfId="0" applyFont="1" applyBorder="1"/>
    <xf numFmtId="0" fontId="10" fillId="0" borderId="10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29" xfId="0" applyFont="1" applyBorder="1"/>
    <xf numFmtId="0" fontId="10" fillId="0" borderId="19" xfId="0" applyFont="1" applyBorder="1" applyAlignment="1">
      <alignment horizontal="center"/>
    </xf>
    <xf numFmtId="0" fontId="10" fillId="0" borderId="13" xfId="0" applyFont="1" applyBorder="1"/>
    <xf numFmtId="0" fontId="10" fillId="0" borderId="13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0" xfId="0" applyFont="1"/>
    <xf numFmtId="0" fontId="10" fillId="0" borderId="7" xfId="0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11" borderId="7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" fillId="0" borderId="26" xfId="0" applyFont="1" applyBorder="1"/>
    <xf numFmtId="0" fontId="1" fillId="0" borderId="7" xfId="0" applyFont="1" applyBorder="1"/>
    <xf numFmtId="0" fontId="10" fillId="0" borderId="28" xfId="0" applyFont="1" applyBorder="1" applyAlignment="1">
      <alignment horizontal="center" vertical="center" wrapText="1"/>
    </xf>
    <xf numFmtId="0" fontId="1" fillId="0" borderId="4" xfId="0" applyFont="1" applyBorder="1"/>
    <xf numFmtId="0" fontId="1" fillId="0" borderId="1" xfId="0" applyFont="1" applyBorder="1"/>
    <xf numFmtId="0" fontId="9" fillId="0" borderId="2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2" fillId="10" borderId="22" xfId="0" applyFont="1" applyFill="1" applyBorder="1"/>
    <xf numFmtId="0" fontId="2" fillId="10" borderId="23" xfId="0" applyFont="1" applyFill="1" applyBorder="1" applyAlignment="1">
      <alignment horizontal="center"/>
    </xf>
    <xf numFmtId="0" fontId="2" fillId="10" borderId="16" xfId="0" applyFont="1" applyFill="1" applyBorder="1"/>
    <xf numFmtId="0" fontId="1" fillId="0" borderId="29" xfId="0" applyFont="1" applyBorder="1"/>
    <xf numFmtId="0" fontId="12" fillId="0" borderId="29" xfId="0" applyFont="1" applyBorder="1"/>
    <xf numFmtId="0" fontId="9" fillId="13" borderId="33" xfId="0" applyFont="1" applyFill="1" applyBorder="1"/>
    <xf numFmtId="0" fontId="9" fillId="13" borderId="34" xfId="0" applyFont="1" applyFill="1" applyBorder="1"/>
    <xf numFmtId="0" fontId="9" fillId="13" borderId="35" xfId="0" applyFont="1" applyFill="1" applyBorder="1"/>
    <xf numFmtId="0" fontId="9" fillId="14" borderId="30" xfId="0" applyFont="1" applyFill="1" applyBorder="1" applyAlignment="1">
      <alignment horizontal="left"/>
    </xf>
    <xf numFmtId="0" fontId="1" fillId="14" borderId="0" xfId="0" applyFont="1" applyFill="1"/>
    <xf numFmtId="0" fontId="1" fillId="14" borderId="37" xfId="0" applyFont="1" applyFill="1" applyBorder="1"/>
    <xf numFmtId="0" fontId="9" fillId="10" borderId="30" xfId="0" applyFont="1" applyFill="1" applyBorder="1" applyAlignment="1">
      <alignment horizontal="left"/>
    </xf>
    <xf numFmtId="0" fontId="1" fillId="10" borderId="0" xfId="0" applyFont="1" applyFill="1"/>
    <xf numFmtId="0" fontId="1" fillId="10" borderId="37" xfId="0" applyFont="1" applyFill="1" applyBorder="1"/>
    <xf numFmtId="0" fontId="9" fillId="10" borderId="39" xfId="0" applyFont="1" applyFill="1" applyBorder="1" applyAlignment="1">
      <alignment horizontal="left"/>
    </xf>
    <xf numFmtId="0" fontId="1" fillId="10" borderId="40" xfId="0" applyFont="1" applyFill="1" applyBorder="1"/>
    <xf numFmtId="0" fontId="1" fillId="10" borderId="41" xfId="0" applyFont="1" applyFill="1" applyBorder="1"/>
    <xf numFmtId="0" fontId="1" fillId="0" borderId="8" xfId="0" applyFont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10" fontId="8" fillId="0" borderId="1" xfId="1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10" fontId="12" fillId="0" borderId="1" xfId="1" applyNumberFormat="1" applyFont="1" applyFill="1" applyBorder="1" applyAlignment="1">
      <alignment horizontal="center"/>
    </xf>
    <xf numFmtId="0" fontId="0" fillId="0" borderId="1" xfId="0" applyBorder="1"/>
    <xf numFmtId="0" fontId="10" fillId="0" borderId="29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9" fillId="0" borderId="3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9" fillId="13" borderId="30" xfId="0" applyFont="1" applyFill="1" applyBorder="1" applyAlignment="1">
      <alignment horizontal="left"/>
    </xf>
    <xf numFmtId="0" fontId="9" fillId="13" borderId="0" xfId="0" applyFont="1" applyFill="1" applyAlignment="1">
      <alignment horizontal="left"/>
    </xf>
    <xf numFmtId="0" fontId="9" fillId="13" borderId="37" xfId="0" applyFont="1" applyFill="1" applyBorder="1" applyAlignment="1">
      <alignment horizontal="left"/>
    </xf>
    <xf numFmtId="0" fontId="9" fillId="14" borderId="0" xfId="0" applyFont="1" applyFill="1" applyAlignment="1">
      <alignment horizontal="left"/>
    </xf>
    <xf numFmtId="0" fontId="9" fillId="14" borderId="37" xfId="0" applyFont="1" applyFill="1" applyBorder="1" applyAlignment="1">
      <alignment horizontal="left"/>
    </xf>
    <xf numFmtId="0" fontId="2" fillId="12" borderId="30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center" vertical="center" wrapText="1"/>
    </xf>
    <xf numFmtId="0" fontId="10" fillId="11" borderId="13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2" fontId="2" fillId="0" borderId="28" xfId="0" applyNumberFormat="1" applyFont="1" applyBorder="1" applyAlignment="1">
      <alignment horizontal="center"/>
    </xf>
    <xf numFmtId="2" fontId="1" fillId="0" borderId="29" xfId="0" applyNumberFormat="1" applyFont="1" applyBorder="1" applyAlignment="1">
      <alignment horizontal="center"/>
    </xf>
    <xf numFmtId="49" fontId="2" fillId="0" borderId="28" xfId="0" applyNumberFormat="1" applyFont="1" applyBorder="1" applyAlignment="1">
      <alignment horizontal="center"/>
    </xf>
    <xf numFmtId="14" fontId="1" fillId="0" borderId="29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2" fillId="0" borderId="27" xfId="0" applyNumberFormat="1" applyFont="1" applyBorder="1" applyAlignment="1">
      <alignment horizontal="center"/>
    </xf>
    <xf numFmtId="2" fontId="1" fillId="0" borderId="43" xfId="0" applyNumberFormat="1" applyFont="1" applyBorder="1" applyAlignment="1">
      <alignment horizontal="center"/>
    </xf>
    <xf numFmtId="49" fontId="2" fillId="0" borderId="19" xfId="0" applyNumberFormat="1" applyFont="1" applyBorder="1" applyAlignment="1">
      <alignment horizontal="center"/>
    </xf>
    <xf numFmtId="9" fontId="0" fillId="0" borderId="0" xfId="0" applyNumberFormat="1"/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1" fontId="1" fillId="0" borderId="29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2" fillId="0" borderId="4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/>
    </xf>
    <xf numFmtId="2" fontId="1" fillId="0" borderId="44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2" fontId="0" fillId="0" borderId="2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5" fillId="9" borderId="5" xfId="0" applyFont="1" applyFill="1" applyBorder="1" applyAlignment="1">
      <alignment horizontal="center" vertical="center"/>
    </xf>
    <xf numFmtId="14" fontId="15" fillId="9" borderId="5" xfId="0" applyNumberFormat="1" applyFont="1" applyFill="1" applyBorder="1" applyAlignment="1">
      <alignment horizontal="center" vertical="center"/>
    </xf>
    <xf numFmtId="43" fontId="15" fillId="9" borderId="5" xfId="3" applyFont="1" applyFill="1" applyBorder="1" applyAlignment="1">
      <alignment horizontal="center" vertical="center"/>
    </xf>
    <xf numFmtId="14" fontId="0" fillId="0" borderId="0" xfId="0" applyNumberFormat="1"/>
    <xf numFmtId="166" fontId="0" fillId="0" borderId="0" xfId="0" applyNumberFormat="1"/>
    <xf numFmtId="165" fontId="16" fillId="5" borderId="1" xfId="2" applyNumberFormat="1" applyFont="1" applyFill="1" applyBorder="1" applyAlignment="1">
      <alignment horizontal="center" vertical="center"/>
    </xf>
    <xf numFmtId="165" fontId="16" fillId="6" borderId="1" xfId="2" applyNumberFormat="1" applyFont="1" applyFill="1" applyBorder="1" applyAlignment="1">
      <alignment horizontal="center" vertical="center"/>
    </xf>
    <xf numFmtId="165" fontId="16" fillId="16" borderId="1" xfId="2" applyNumberFormat="1" applyFont="1" applyFill="1" applyBorder="1" applyAlignment="1">
      <alignment horizontal="center" vertical="center"/>
    </xf>
    <xf numFmtId="165" fontId="17" fillId="0" borderId="1" xfId="2" applyNumberFormat="1" applyFont="1" applyBorder="1" applyAlignment="1">
      <alignment horizontal="center" vertical="center"/>
    </xf>
    <xf numFmtId="0" fontId="0" fillId="17" borderId="0" xfId="0" applyFill="1"/>
    <xf numFmtId="0" fontId="0" fillId="0" borderId="18" xfId="0" applyBorder="1"/>
    <xf numFmtId="0" fontId="14" fillId="9" borderId="18" xfId="0" applyFont="1" applyFill="1" applyBorder="1" applyAlignment="1">
      <alignment horizontal="center"/>
    </xf>
    <xf numFmtId="0" fontId="14" fillId="9" borderId="11" xfId="0" applyFont="1" applyFill="1" applyBorder="1" applyAlignment="1">
      <alignment horizontal="center"/>
    </xf>
    <xf numFmtId="2" fontId="0" fillId="0" borderId="28" xfId="0" applyNumberFormat="1" applyBorder="1"/>
    <xf numFmtId="2" fontId="0" fillId="0" borderId="29" xfId="0" applyNumberFormat="1" applyBorder="1"/>
    <xf numFmtId="2" fontId="0" fillId="0" borderId="19" xfId="0" applyNumberFormat="1" applyBorder="1"/>
    <xf numFmtId="2" fontId="0" fillId="0" borderId="14" xfId="0" applyNumberFormat="1" applyBorder="1"/>
    <xf numFmtId="43" fontId="0" fillId="0" borderId="10" xfId="2" applyFont="1" applyBorder="1"/>
    <xf numFmtId="43" fontId="0" fillId="0" borderId="1" xfId="2" applyFont="1" applyBorder="1"/>
    <xf numFmtId="43" fontId="0" fillId="0" borderId="13" xfId="2" applyFont="1" applyBorder="1"/>
    <xf numFmtId="0" fontId="0" fillId="0" borderId="19" xfId="0" applyBorder="1" applyAlignment="1">
      <alignment horizontal="left"/>
    </xf>
    <xf numFmtId="43" fontId="1" fillId="0" borderId="13" xfId="2" applyFont="1" applyBorder="1" applyAlignment="1">
      <alignment horizontal="center" vertical="center"/>
    </xf>
    <xf numFmtId="43" fontId="0" fillId="0" borderId="46" xfId="2" applyFont="1" applyBorder="1"/>
    <xf numFmtId="43" fontId="0" fillId="0" borderId="2" xfId="2" applyFont="1" applyBorder="1"/>
    <xf numFmtId="43" fontId="0" fillId="0" borderId="47" xfId="2" applyFont="1" applyBorder="1"/>
    <xf numFmtId="0" fontId="14" fillId="9" borderId="48" xfId="0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 vertical="center"/>
    </xf>
    <xf numFmtId="1" fontId="2" fillId="6" borderId="25" xfId="0" applyNumberFormat="1" applyFont="1" applyFill="1" applyBorder="1" applyAlignment="1">
      <alignment horizontal="center" vertical="center"/>
    </xf>
    <xf numFmtId="0" fontId="14" fillId="18" borderId="0" xfId="0" applyFont="1" applyFill="1" applyAlignment="1">
      <alignment horizontal="center" vertical="center"/>
    </xf>
    <xf numFmtId="2" fontId="2" fillId="9" borderId="22" xfId="0" applyNumberFormat="1" applyFont="1" applyFill="1" applyBorder="1" applyAlignment="1">
      <alignment horizontal="center"/>
    </xf>
    <xf numFmtId="2" fontId="2" fillId="9" borderId="24" xfId="0" applyNumberFormat="1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4" fillId="9" borderId="22" xfId="0" applyFont="1" applyFill="1" applyBorder="1" applyAlignment="1">
      <alignment horizontal="center"/>
    </xf>
    <xf numFmtId="0" fontId="14" fillId="9" borderId="23" xfId="0" applyFont="1" applyFill="1" applyBorder="1" applyAlignment="1">
      <alignment horizontal="center"/>
    </xf>
    <xf numFmtId="0" fontId="14" fillId="9" borderId="24" xfId="0" applyFont="1" applyFill="1" applyBorder="1" applyAlignment="1">
      <alignment horizontal="center"/>
    </xf>
    <xf numFmtId="0" fontId="14" fillId="9" borderId="33" xfId="0" applyFont="1" applyFill="1" applyBorder="1" applyAlignment="1">
      <alignment horizontal="center"/>
    </xf>
    <xf numFmtId="0" fontId="14" fillId="9" borderId="35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5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26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</cellXfs>
  <cellStyles count="4">
    <cellStyle name="Millares" xfId="2" builtinId="3"/>
    <cellStyle name="Millares 2" xfId="3" xr:uid="{14671F48-6C26-49C6-8DD2-73096E2DC483}"/>
    <cellStyle name="Normal" xfId="0" builtinId="0"/>
    <cellStyle name="Porcentaje" xfId="1" builtinId="5"/>
  </cellStyles>
  <dxfs count="42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BE49"/>
      <color rgb="FF44FF27"/>
      <color rgb="FFD3399B"/>
      <color rgb="FF1FBD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J11" sqref="J11"/>
    </sheetView>
  </sheetViews>
  <sheetFormatPr baseColWidth="10" defaultRowHeight="15" x14ac:dyDescent="0.25"/>
  <cols>
    <col min="1" max="1" width="19.7109375" bestFit="1" customWidth="1"/>
    <col min="2" max="2" width="26.5703125" bestFit="1" customWidth="1"/>
    <col min="11" max="11" width="16.85546875" style="178" bestFit="1" customWidth="1"/>
  </cols>
  <sheetData>
    <row r="1" spans="1:13" ht="15.75" thickBot="1" x14ac:dyDescent="0.3">
      <c r="A1" s="204" t="s">
        <v>303</v>
      </c>
      <c r="B1" s="205"/>
      <c r="E1" s="175" t="s">
        <v>328</v>
      </c>
      <c r="F1" s="175" t="s">
        <v>321</v>
      </c>
      <c r="G1" s="175" t="s">
        <v>322</v>
      </c>
      <c r="H1" s="175" t="s">
        <v>323</v>
      </c>
      <c r="I1" s="175" t="s">
        <v>324</v>
      </c>
      <c r="J1" s="175" t="s">
        <v>325</v>
      </c>
      <c r="K1" s="176" t="s">
        <v>326</v>
      </c>
      <c r="L1" s="177" t="s">
        <v>327</v>
      </c>
      <c r="M1" s="175" t="s">
        <v>330</v>
      </c>
    </row>
    <row r="2" spans="1:13" x14ac:dyDescent="0.25">
      <c r="A2" s="150" t="s">
        <v>302</v>
      </c>
      <c r="B2" s="151"/>
    </row>
    <row r="3" spans="1:13" x14ac:dyDescent="0.25">
      <c r="A3" s="145" t="s">
        <v>304</v>
      </c>
      <c r="B3" s="156"/>
    </row>
    <row r="4" spans="1:13" x14ac:dyDescent="0.25">
      <c r="A4" s="147" t="s">
        <v>305</v>
      </c>
      <c r="B4" s="146"/>
    </row>
    <row r="5" spans="1:13" x14ac:dyDescent="0.25">
      <c r="A5" s="147" t="s">
        <v>308</v>
      </c>
      <c r="B5" s="146"/>
    </row>
    <row r="6" spans="1:13" x14ac:dyDescent="0.25">
      <c r="A6" s="147" t="s">
        <v>306</v>
      </c>
      <c r="B6" s="148"/>
    </row>
    <row r="7" spans="1:13" x14ac:dyDescent="0.25">
      <c r="A7" s="147" t="s">
        <v>307</v>
      </c>
      <c r="B7" s="146">
        <f ca="1">(TODAY()-B6)/30</f>
        <v>1517.9333333333334</v>
      </c>
    </row>
    <row r="8" spans="1:13" x14ac:dyDescent="0.25">
      <c r="A8" s="147" t="s">
        <v>309</v>
      </c>
      <c r="B8" s="146"/>
    </row>
    <row r="9" spans="1:13" x14ac:dyDescent="0.25">
      <c r="A9" s="147" t="s">
        <v>310</v>
      </c>
      <c r="B9" s="146"/>
    </row>
    <row r="10" spans="1:13" x14ac:dyDescent="0.25">
      <c r="A10" s="147" t="s">
        <v>311</v>
      </c>
      <c r="B10" s="146"/>
    </row>
    <row r="11" spans="1:13" x14ac:dyDescent="0.25">
      <c r="A11" s="147" t="s">
        <v>312</v>
      </c>
      <c r="B11" s="146"/>
    </row>
    <row r="12" spans="1:13" x14ac:dyDescent="0.25">
      <c r="A12" s="147" t="s">
        <v>314</v>
      </c>
      <c r="B12" s="146"/>
    </row>
    <row r="13" spans="1:13" x14ac:dyDescent="0.25">
      <c r="A13" s="147" t="s">
        <v>331</v>
      </c>
      <c r="B13" s="146"/>
    </row>
    <row r="14" spans="1:13" ht="15.75" thickBot="1" x14ac:dyDescent="0.3">
      <c r="A14" s="152" t="s">
        <v>315</v>
      </c>
      <c r="B14" s="149"/>
    </row>
    <row r="17" spans="2:3" x14ac:dyDescent="0.25">
      <c r="B17" t="s">
        <v>332</v>
      </c>
      <c r="C17" s="179">
        <f>B12*1.2</f>
        <v>0</v>
      </c>
    </row>
    <row r="18" spans="2:3" x14ac:dyDescent="0.25">
      <c r="B18" t="s">
        <v>333</v>
      </c>
      <c r="C18" s="179">
        <f>B13*1.2</f>
        <v>0</v>
      </c>
    </row>
    <row r="19" spans="2:3" x14ac:dyDescent="0.25">
      <c r="B19" t="s">
        <v>334</v>
      </c>
      <c r="C19" s="179">
        <f>B14*1.2</f>
        <v>0</v>
      </c>
    </row>
  </sheetData>
  <autoFilter ref="E1:M1" xr:uid="{00000000-0001-0000-0000-000000000000}"/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9"/>
  <sheetViews>
    <sheetView zoomScaleNormal="100" workbookViewId="0">
      <selection activeCell="F10" sqref="F10"/>
    </sheetView>
  </sheetViews>
  <sheetFormatPr baseColWidth="10" defaultRowHeight="15" x14ac:dyDescent="0.25"/>
  <cols>
    <col min="1" max="1" width="15.42578125" customWidth="1"/>
    <col min="2" max="2" width="14.7109375" style="154" customWidth="1"/>
    <col min="3" max="3" width="15.42578125" style="154" customWidth="1"/>
    <col min="4" max="4" width="11.42578125" style="155"/>
    <col min="7" max="7" width="19" customWidth="1"/>
    <col min="8" max="8" width="18.140625" customWidth="1"/>
    <col min="9" max="9" width="19" customWidth="1"/>
    <col min="10" max="10" width="21.42578125" customWidth="1"/>
    <col min="12" max="12" width="16" customWidth="1"/>
    <col min="15" max="15" width="24" customWidth="1"/>
    <col min="16" max="17" width="13.85546875" customWidth="1"/>
    <col min="18" max="18" width="21.140625" customWidth="1"/>
  </cols>
  <sheetData>
    <row r="1" spans="1:18" ht="15.75" thickBot="1" x14ac:dyDescent="0.3">
      <c r="A1" s="3" t="s">
        <v>0</v>
      </c>
      <c r="B1" s="180">
        <v>1</v>
      </c>
      <c r="C1" s="181">
        <v>2</v>
      </c>
      <c r="D1" s="182">
        <v>3</v>
      </c>
      <c r="G1" s="209" t="s">
        <v>161</v>
      </c>
      <c r="H1" s="210"/>
      <c r="I1" s="210"/>
      <c r="J1" s="210"/>
      <c r="K1" s="210"/>
      <c r="L1" s="210"/>
      <c r="M1" s="210"/>
      <c r="O1" s="206" t="s">
        <v>78</v>
      </c>
      <c r="P1" s="207"/>
      <c r="Q1" s="207"/>
      <c r="R1" s="208"/>
    </row>
    <row r="2" spans="1:18" ht="15.75" thickBot="1" x14ac:dyDescent="0.3">
      <c r="A2" s="3" t="s">
        <v>42</v>
      </c>
      <c r="B2" s="183"/>
      <c r="C2" s="183"/>
      <c r="D2" s="183"/>
      <c r="G2" s="66"/>
      <c r="H2" s="67"/>
      <c r="I2" s="67"/>
      <c r="J2" s="67"/>
      <c r="K2" s="67"/>
      <c r="L2" s="67"/>
      <c r="M2" s="67"/>
      <c r="O2" s="26" t="s">
        <v>79</v>
      </c>
      <c r="P2" s="27" t="s">
        <v>80</v>
      </c>
      <c r="Q2" s="27" t="s">
        <v>81</v>
      </c>
      <c r="R2" s="28" t="s">
        <v>82</v>
      </c>
    </row>
    <row r="3" spans="1:18" ht="15.75" thickBot="1" x14ac:dyDescent="0.3">
      <c r="A3" s="3" t="s">
        <v>41</v>
      </c>
      <c r="B3" s="9"/>
      <c r="C3" s="183"/>
      <c r="D3" s="9"/>
      <c r="O3" s="143" t="s">
        <v>83</v>
      </c>
      <c r="P3" s="10" t="s">
        <v>84</v>
      </c>
      <c r="Q3" s="10" t="s">
        <v>85</v>
      </c>
      <c r="R3" s="11" t="s">
        <v>54</v>
      </c>
    </row>
    <row r="4" spans="1:18" ht="15.75" thickBot="1" x14ac:dyDescent="0.3">
      <c r="A4" s="3" t="s">
        <v>25</v>
      </c>
      <c r="B4" s="183"/>
      <c r="C4" s="183"/>
      <c r="D4" s="183"/>
      <c r="G4" s="130" t="s">
        <v>162</v>
      </c>
      <c r="H4" s="130" t="s">
        <v>163</v>
      </c>
      <c r="I4" s="132" t="s">
        <v>164</v>
      </c>
      <c r="J4" s="134" t="s">
        <v>165</v>
      </c>
      <c r="K4" s="136" t="s">
        <v>166</v>
      </c>
      <c r="L4" s="138" t="s">
        <v>167</v>
      </c>
      <c r="M4" s="138" t="s">
        <v>168</v>
      </c>
      <c r="O4" s="144"/>
      <c r="P4" s="12"/>
      <c r="Q4" s="12" t="s">
        <v>86</v>
      </c>
      <c r="R4" s="13" t="s">
        <v>53</v>
      </c>
    </row>
    <row r="5" spans="1:18" ht="14.25" customHeight="1" thickBot="1" x14ac:dyDescent="0.3">
      <c r="A5" s="3" t="s">
        <v>26</v>
      </c>
      <c r="B5" s="183"/>
      <c r="C5" s="183"/>
      <c r="D5" s="183"/>
      <c r="G5" s="131"/>
      <c r="H5" s="131"/>
      <c r="I5" s="133"/>
      <c r="J5" s="135"/>
      <c r="K5" s="137"/>
      <c r="L5" s="139"/>
      <c r="M5" s="139"/>
      <c r="O5" s="143" t="s">
        <v>87</v>
      </c>
      <c r="P5" s="10" t="s">
        <v>88</v>
      </c>
      <c r="Q5" s="10" t="s">
        <v>89</v>
      </c>
      <c r="R5" s="11" t="s">
        <v>52</v>
      </c>
    </row>
    <row r="6" spans="1:18" ht="15.75" thickBot="1" x14ac:dyDescent="0.3">
      <c r="A6" s="3" t="s">
        <v>27</v>
      </c>
      <c r="B6" s="183"/>
      <c r="C6" s="183"/>
      <c r="D6" s="183"/>
      <c r="G6" s="69" t="s">
        <v>169</v>
      </c>
      <c r="H6" s="69"/>
      <c r="I6" s="69"/>
      <c r="J6" s="70"/>
      <c r="K6" s="71"/>
      <c r="L6" s="69"/>
      <c r="M6" s="69"/>
      <c r="O6" s="144"/>
      <c r="P6" s="12"/>
      <c r="Q6" s="12" t="s">
        <v>90</v>
      </c>
      <c r="R6" s="13" t="s">
        <v>53</v>
      </c>
    </row>
    <row r="7" spans="1:18" ht="15.75" thickBot="1" x14ac:dyDescent="0.3">
      <c r="A7" s="3" t="s">
        <v>28</v>
      </c>
      <c r="B7" s="183"/>
      <c r="C7" s="183"/>
      <c r="D7" s="183"/>
      <c r="G7" s="72" t="s">
        <v>170</v>
      </c>
      <c r="H7" s="69"/>
      <c r="I7" s="69"/>
      <c r="J7" s="70"/>
      <c r="K7" s="71"/>
      <c r="L7" s="73"/>
      <c r="M7" s="69"/>
      <c r="O7" s="29" t="s">
        <v>96</v>
      </c>
      <c r="P7" s="14" t="s">
        <v>97</v>
      </c>
      <c r="Q7" s="14" t="s">
        <v>98</v>
      </c>
      <c r="R7" s="15" t="s">
        <v>52</v>
      </c>
    </row>
    <row r="8" spans="1:18" x14ac:dyDescent="0.25">
      <c r="A8" s="3" t="s">
        <v>29</v>
      </c>
      <c r="B8" s="183"/>
      <c r="C8" s="183"/>
      <c r="D8" s="183"/>
      <c r="G8" s="74" t="s">
        <v>171</v>
      </c>
      <c r="H8" s="69" t="s">
        <v>8</v>
      </c>
      <c r="I8" s="38" t="s">
        <v>172</v>
      </c>
      <c r="J8" s="39" t="s">
        <v>173</v>
      </c>
      <c r="K8" s="40" t="s">
        <v>174</v>
      </c>
      <c r="L8" s="75"/>
      <c r="M8" s="76"/>
      <c r="O8" s="141" t="s">
        <v>99</v>
      </c>
      <c r="P8" s="16"/>
      <c r="Q8" s="10" t="s">
        <v>100</v>
      </c>
      <c r="R8" s="11" t="s">
        <v>52</v>
      </c>
    </row>
    <row r="9" spans="1:18" ht="15.75" thickBot="1" x14ac:dyDescent="0.3">
      <c r="A9" s="3" t="s">
        <v>30</v>
      </c>
      <c r="B9" s="183"/>
      <c r="C9" s="183"/>
      <c r="D9" s="183"/>
      <c r="G9" s="80" t="s">
        <v>218</v>
      </c>
      <c r="H9" s="72" t="s">
        <v>177</v>
      </c>
      <c r="I9" s="41" t="s">
        <v>219</v>
      </c>
      <c r="J9" s="42" t="s">
        <v>220</v>
      </c>
      <c r="K9" s="43" t="s">
        <v>221</v>
      </c>
      <c r="L9" s="78"/>
      <c r="M9" s="79"/>
      <c r="O9" s="142"/>
      <c r="P9" s="25"/>
      <c r="Q9" s="12" t="s">
        <v>94</v>
      </c>
      <c r="R9" s="13" t="s">
        <v>54</v>
      </c>
    </row>
    <row r="10" spans="1:18" x14ac:dyDescent="0.25">
      <c r="A10" s="3" t="s">
        <v>31</v>
      </c>
      <c r="B10" s="183"/>
      <c r="C10" s="183"/>
      <c r="D10" s="183"/>
      <c r="G10" s="77" t="s">
        <v>125</v>
      </c>
      <c r="H10" s="72" t="s">
        <v>177</v>
      </c>
      <c r="I10" s="41" t="s">
        <v>181</v>
      </c>
      <c r="J10" s="42" t="s">
        <v>182</v>
      </c>
      <c r="K10" s="43" t="s">
        <v>183</v>
      </c>
      <c r="L10" s="78"/>
      <c r="M10" s="79"/>
      <c r="O10" s="143" t="s">
        <v>91</v>
      </c>
      <c r="P10" s="10" t="s">
        <v>92</v>
      </c>
      <c r="Q10" s="10" t="s">
        <v>93</v>
      </c>
      <c r="R10" s="11" t="s">
        <v>52</v>
      </c>
    </row>
    <row r="11" spans="1:18" ht="15.75" thickBot="1" x14ac:dyDescent="0.3">
      <c r="A11" s="3" t="s">
        <v>32</v>
      </c>
      <c r="B11" s="183"/>
      <c r="C11" s="183"/>
      <c r="D11" s="183"/>
      <c r="G11" s="80" t="s">
        <v>146</v>
      </c>
      <c r="H11" s="82" t="s">
        <v>68</v>
      </c>
      <c r="I11" s="41" t="s">
        <v>200</v>
      </c>
      <c r="J11" s="42" t="s">
        <v>201</v>
      </c>
      <c r="K11" s="43" t="s">
        <v>202</v>
      </c>
      <c r="L11" s="78"/>
      <c r="M11" s="79"/>
      <c r="O11" s="144"/>
      <c r="P11" s="25"/>
      <c r="Q11" s="12" t="s">
        <v>94</v>
      </c>
      <c r="R11" s="13" t="s">
        <v>95</v>
      </c>
    </row>
    <row r="12" spans="1:18" ht="15.75" thickBot="1" x14ac:dyDescent="0.3">
      <c r="A12" s="3" t="s">
        <v>33</v>
      </c>
      <c r="B12" s="183"/>
      <c r="C12" s="183"/>
      <c r="D12" s="183"/>
      <c r="G12" s="77" t="s">
        <v>144</v>
      </c>
      <c r="H12" s="72" t="s">
        <v>68</v>
      </c>
      <c r="I12" s="41" t="s">
        <v>193</v>
      </c>
      <c r="J12" s="42" t="s">
        <v>194</v>
      </c>
      <c r="K12" s="43" t="s">
        <v>195</v>
      </c>
      <c r="L12" s="78"/>
      <c r="M12" s="79"/>
      <c r="O12" s="30" t="s">
        <v>101</v>
      </c>
      <c r="P12" s="17" t="s">
        <v>102</v>
      </c>
      <c r="Q12" s="14" t="s">
        <v>103</v>
      </c>
      <c r="R12" s="15" t="s">
        <v>60</v>
      </c>
    </row>
    <row r="13" spans="1:18" x14ac:dyDescent="0.25">
      <c r="A13" s="3" t="s">
        <v>34</v>
      </c>
      <c r="B13" s="183"/>
      <c r="C13" s="183"/>
      <c r="D13" s="183"/>
      <c r="G13" s="77" t="s">
        <v>14</v>
      </c>
      <c r="H13" s="72" t="s">
        <v>177</v>
      </c>
      <c r="I13" s="41" t="s">
        <v>178</v>
      </c>
      <c r="J13" s="42" t="s">
        <v>179</v>
      </c>
      <c r="K13" s="43" t="s">
        <v>180</v>
      </c>
      <c r="L13" s="78"/>
      <c r="M13" s="79"/>
      <c r="O13" s="141" t="s">
        <v>104</v>
      </c>
      <c r="P13" s="16" t="s">
        <v>105</v>
      </c>
      <c r="Q13" s="18" t="s">
        <v>89</v>
      </c>
      <c r="R13" s="19" t="s">
        <v>57</v>
      </c>
    </row>
    <row r="14" spans="1:18" ht="15.75" thickBot="1" x14ac:dyDescent="0.3">
      <c r="A14" s="3" t="s">
        <v>35</v>
      </c>
      <c r="B14" s="183"/>
      <c r="C14" s="183"/>
      <c r="D14" s="183"/>
      <c r="G14" s="77" t="s">
        <v>142</v>
      </c>
      <c r="H14" s="72" t="s">
        <v>177</v>
      </c>
      <c r="I14" s="41" t="s">
        <v>184</v>
      </c>
      <c r="J14" s="42" t="s">
        <v>185</v>
      </c>
      <c r="K14" s="43" t="s">
        <v>186</v>
      </c>
      <c r="L14" s="78"/>
      <c r="M14" s="79"/>
      <c r="O14" s="142"/>
      <c r="P14" s="22"/>
      <c r="Q14" s="20" t="s">
        <v>106</v>
      </c>
      <c r="R14" s="21" t="s">
        <v>56</v>
      </c>
    </row>
    <row r="15" spans="1:18" x14ac:dyDescent="0.25">
      <c r="A15" s="3" t="s">
        <v>36</v>
      </c>
      <c r="B15" s="183"/>
      <c r="C15" s="183"/>
      <c r="D15" s="183"/>
      <c r="G15" s="77" t="s">
        <v>196</v>
      </c>
      <c r="H15" s="72" t="s">
        <v>68</v>
      </c>
      <c r="I15" s="41" t="s">
        <v>197</v>
      </c>
      <c r="J15" s="42" t="s">
        <v>198</v>
      </c>
      <c r="K15" s="43" t="s">
        <v>199</v>
      </c>
      <c r="L15" s="78"/>
      <c r="M15" s="79"/>
      <c r="O15" s="141" t="s">
        <v>107</v>
      </c>
      <c r="P15" s="16" t="s">
        <v>108</v>
      </c>
      <c r="Q15" s="18" t="s">
        <v>109</v>
      </c>
      <c r="R15" s="19" t="s">
        <v>59</v>
      </c>
    </row>
    <row r="16" spans="1:18" ht="15.75" thickBot="1" x14ac:dyDescent="0.3">
      <c r="A16" s="3" t="s">
        <v>37</v>
      </c>
      <c r="B16" s="183"/>
      <c r="C16" s="183"/>
      <c r="D16" s="183"/>
      <c r="G16" s="80" t="s">
        <v>187</v>
      </c>
      <c r="H16" s="72" t="s">
        <v>177</v>
      </c>
      <c r="I16" s="41" t="s">
        <v>188</v>
      </c>
      <c r="J16" s="42">
        <v>0.5</v>
      </c>
      <c r="K16" s="43" t="s">
        <v>189</v>
      </c>
      <c r="L16" s="78"/>
      <c r="M16" s="79"/>
      <c r="O16" s="142"/>
      <c r="P16" s="22"/>
      <c r="Q16" s="20" t="s">
        <v>106</v>
      </c>
      <c r="R16" s="21" t="s">
        <v>51</v>
      </c>
    </row>
    <row r="17" spans="1:18" x14ac:dyDescent="0.25">
      <c r="A17" s="3" t="s">
        <v>38</v>
      </c>
      <c r="B17" s="183"/>
      <c r="C17" s="183"/>
      <c r="D17" s="183"/>
      <c r="G17" s="77" t="s">
        <v>13</v>
      </c>
      <c r="H17" s="72" t="s">
        <v>68</v>
      </c>
      <c r="I17" s="41" t="s">
        <v>175</v>
      </c>
      <c r="J17" s="42" t="s">
        <v>176</v>
      </c>
      <c r="K17" s="43" t="s">
        <v>89</v>
      </c>
      <c r="L17" s="78"/>
      <c r="M17" s="79"/>
      <c r="O17" s="141" t="s">
        <v>110</v>
      </c>
      <c r="P17" s="23" t="s">
        <v>111</v>
      </c>
      <c r="Q17" s="18" t="s">
        <v>100</v>
      </c>
      <c r="R17" s="19" t="s">
        <v>59</v>
      </c>
    </row>
    <row r="18" spans="1:18" ht="15.75" thickBot="1" x14ac:dyDescent="0.3">
      <c r="A18" s="3" t="s">
        <v>39</v>
      </c>
      <c r="B18" s="183"/>
      <c r="C18" s="183"/>
      <c r="D18" s="183"/>
      <c r="G18" s="80" t="s">
        <v>124</v>
      </c>
      <c r="H18" s="81" t="s">
        <v>68</v>
      </c>
      <c r="I18" s="41" t="s">
        <v>190</v>
      </c>
      <c r="J18" s="42" t="s">
        <v>191</v>
      </c>
      <c r="K18" s="43" t="s">
        <v>192</v>
      </c>
      <c r="L18" s="78"/>
      <c r="M18" s="79"/>
      <c r="O18" s="142"/>
      <c r="P18" s="24"/>
      <c r="Q18" s="20" t="s">
        <v>112</v>
      </c>
      <c r="R18" s="21" t="s">
        <v>56</v>
      </c>
    </row>
    <row r="19" spans="1:18" x14ac:dyDescent="0.25">
      <c r="A19" s="3" t="s">
        <v>40</v>
      </c>
      <c r="B19" s="183"/>
      <c r="C19" s="183"/>
      <c r="D19" s="183"/>
      <c r="G19" s="80" t="s">
        <v>145</v>
      </c>
      <c r="H19" s="81" t="s">
        <v>68</v>
      </c>
      <c r="I19" s="41" t="s">
        <v>200</v>
      </c>
      <c r="J19" s="42" t="s">
        <v>203</v>
      </c>
      <c r="K19" s="43" t="s">
        <v>204</v>
      </c>
      <c r="L19" s="78"/>
      <c r="M19" s="79"/>
      <c r="O19" s="140" t="s">
        <v>274</v>
      </c>
      <c r="P19" s="140"/>
      <c r="Q19" s="140"/>
      <c r="R19" s="140"/>
    </row>
    <row r="20" spans="1:18" x14ac:dyDescent="0.25">
      <c r="A20" s="3" t="s">
        <v>149</v>
      </c>
      <c r="B20" s="183"/>
      <c r="C20" s="183"/>
      <c r="D20" s="183"/>
      <c r="G20" s="80" t="s">
        <v>143</v>
      </c>
      <c r="H20" s="81" t="s">
        <v>68</v>
      </c>
      <c r="I20" s="41" t="s">
        <v>205</v>
      </c>
      <c r="J20" s="42" t="s">
        <v>206</v>
      </c>
      <c r="K20" s="43" t="s">
        <v>207</v>
      </c>
      <c r="L20" s="78"/>
      <c r="M20" s="79"/>
    </row>
    <row r="21" spans="1:18" x14ac:dyDescent="0.25">
      <c r="A21" s="3" t="s">
        <v>83</v>
      </c>
      <c r="B21" s="9" t="e">
        <f>B10/B14</f>
        <v>#DIV/0!</v>
      </c>
      <c r="C21" s="9" t="e">
        <f>C10/C14</f>
        <v>#DIV/0!</v>
      </c>
      <c r="D21" s="9" t="e">
        <f>D10/D14</f>
        <v>#DIV/0!</v>
      </c>
      <c r="G21" s="80" t="s">
        <v>208</v>
      </c>
      <c r="H21" s="72" t="s">
        <v>177</v>
      </c>
      <c r="I21" s="44" t="s">
        <v>209</v>
      </c>
      <c r="J21" s="45">
        <v>0.1</v>
      </c>
      <c r="K21" s="46" t="s">
        <v>210</v>
      </c>
      <c r="L21" s="78"/>
      <c r="M21" s="79"/>
    </row>
    <row r="22" spans="1:18" x14ac:dyDescent="0.25">
      <c r="A22" s="3" t="s">
        <v>87</v>
      </c>
      <c r="B22" s="9" t="e">
        <f>B14/B13</f>
        <v>#DIV/0!</v>
      </c>
      <c r="C22" s="9" t="e">
        <f>C14/C13</f>
        <v>#DIV/0!</v>
      </c>
      <c r="D22" s="9" t="e">
        <f>D14/D13</f>
        <v>#DIV/0!</v>
      </c>
      <c r="G22" s="83" t="s">
        <v>211</v>
      </c>
      <c r="H22" s="72" t="s">
        <v>177</v>
      </c>
      <c r="I22" s="41" t="s">
        <v>200</v>
      </c>
      <c r="J22" s="42" t="s">
        <v>212</v>
      </c>
      <c r="K22" s="47" t="s">
        <v>213</v>
      </c>
      <c r="L22" s="78"/>
      <c r="M22" s="79"/>
    </row>
    <row r="23" spans="1:18" x14ac:dyDescent="0.25">
      <c r="A23" s="3" t="s">
        <v>96</v>
      </c>
      <c r="B23" s="9" t="e">
        <f>B16/B13</f>
        <v>#DIV/0!</v>
      </c>
      <c r="C23" s="9" t="e">
        <f>C16/C13</f>
        <v>#DIV/0!</v>
      </c>
      <c r="D23" s="9" t="e">
        <f>D16/D13</f>
        <v>#DIV/0!</v>
      </c>
      <c r="G23" s="83" t="s">
        <v>214</v>
      </c>
      <c r="H23" s="81" t="s">
        <v>68</v>
      </c>
      <c r="I23" s="44" t="s">
        <v>215</v>
      </c>
      <c r="J23" s="48" t="s">
        <v>216</v>
      </c>
      <c r="K23" s="49" t="s">
        <v>217</v>
      </c>
      <c r="L23" s="78"/>
      <c r="M23" s="79"/>
    </row>
    <row r="24" spans="1:18" ht="15.75" thickBot="1" x14ac:dyDescent="0.3">
      <c r="A24" s="3" t="s">
        <v>99</v>
      </c>
      <c r="B24" s="9" t="e">
        <f>B10/B13</f>
        <v>#DIV/0!</v>
      </c>
      <c r="C24" s="9" t="e">
        <f>C10/C13</f>
        <v>#DIV/0!</v>
      </c>
      <c r="D24" s="9" t="e">
        <f>D10/D13</f>
        <v>#DIV/0!</v>
      </c>
      <c r="G24" s="84" t="s">
        <v>222</v>
      </c>
      <c r="H24" s="85" t="s">
        <v>223</v>
      </c>
      <c r="I24" s="50" t="s">
        <v>172</v>
      </c>
      <c r="J24" s="51" t="s">
        <v>173</v>
      </c>
      <c r="K24" s="52" t="s">
        <v>174</v>
      </c>
      <c r="L24" s="25"/>
      <c r="M24" s="25"/>
    </row>
    <row r="25" spans="1:18" ht="15" customHeight="1" x14ac:dyDescent="0.25">
      <c r="A25" s="3" t="s">
        <v>91</v>
      </c>
      <c r="B25" s="9" t="e">
        <f>(B10+B14)/B13</f>
        <v>#DIV/0!</v>
      </c>
      <c r="C25" s="9" t="e">
        <f>(C10+C14)/C13</f>
        <v>#DIV/0!</v>
      </c>
      <c r="D25" s="9" t="e">
        <f>(D10+D14)/D13</f>
        <v>#DIV/0!</v>
      </c>
      <c r="G25" s="61" t="s">
        <v>83</v>
      </c>
      <c r="H25" s="53"/>
      <c r="I25" s="54" t="s">
        <v>224</v>
      </c>
      <c r="J25" s="55" t="s">
        <v>225</v>
      </c>
      <c r="K25" s="43" t="s">
        <v>226</v>
      </c>
      <c r="L25" s="68"/>
      <c r="M25" s="68"/>
    </row>
    <row r="26" spans="1:18" x14ac:dyDescent="0.25">
      <c r="A26" s="3" t="s">
        <v>104</v>
      </c>
      <c r="B26" s="9" t="e">
        <f>B12/B15</f>
        <v>#DIV/0!</v>
      </c>
      <c r="C26" s="9" t="e">
        <f>C12/C15</f>
        <v>#DIV/0!</v>
      </c>
      <c r="D26" s="9" t="e">
        <f>D12/D15</f>
        <v>#DIV/0!</v>
      </c>
    </row>
    <row r="27" spans="1:18" x14ac:dyDescent="0.25">
      <c r="A27" s="3" t="s">
        <v>107</v>
      </c>
      <c r="B27" s="9" t="e">
        <f>B17/B19</f>
        <v>#DIV/0!</v>
      </c>
      <c r="C27" s="9" t="e">
        <f>C17/C19</f>
        <v>#DIV/0!</v>
      </c>
      <c r="D27" s="9" t="e">
        <f>D17/D19</f>
        <v>#DIV/0!</v>
      </c>
    </row>
    <row r="28" spans="1:18" x14ac:dyDescent="0.25">
      <c r="A28" s="3" t="s">
        <v>110</v>
      </c>
      <c r="B28" s="9" t="e">
        <f>B12/B19</f>
        <v>#DIV/0!</v>
      </c>
      <c r="C28" s="9" t="e">
        <f>C12/C19</f>
        <v>#DIV/0!</v>
      </c>
      <c r="D28" s="9" t="e">
        <f>D12/D19</f>
        <v>#DIV/0!</v>
      </c>
    </row>
    <row r="29" spans="1:18" ht="15.75" thickBot="1" x14ac:dyDescent="0.3">
      <c r="A29" s="3" t="s">
        <v>148</v>
      </c>
      <c r="B29" s="9" t="e">
        <f>B13/B14</f>
        <v>#DIV/0!</v>
      </c>
      <c r="C29" s="9" t="e">
        <f>C13/C14</f>
        <v>#DIV/0!</v>
      </c>
      <c r="D29" s="9" t="e">
        <f>D13/D14</f>
        <v>#DIV/0!</v>
      </c>
      <c r="G29" s="123" t="s">
        <v>227</v>
      </c>
      <c r="H29" s="124"/>
    </row>
    <row r="30" spans="1:18" ht="15.75" thickBot="1" x14ac:dyDescent="0.3">
      <c r="G30" s="86"/>
      <c r="H30" s="87" t="s">
        <v>169</v>
      </c>
      <c r="I30" s="124"/>
      <c r="J30" s="124"/>
      <c r="K30" s="124"/>
    </row>
    <row r="31" spans="1:18" ht="15.75" thickBot="1" x14ac:dyDescent="0.3">
      <c r="G31" s="56">
        <v>1</v>
      </c>
      <c r="H31" s="57" t="s">
        <v>228</v>
      </c>
      <c r="I31" s="88"/>
      <c r="J31" s="125" t="s">
        <v>168</v>
      </c>
      <c r="K31" s="126"/>
    </row>
    <row r="32" spans="1:18" x14ac:dyDescent="0.25">
      <c r="G32" s="59">
        <v>2</v>
      </c>
      <c r="H32" s="60" t="s">
        <v>231</v>
      </c>
      <c r="I32" s="58" t="s">
        <v>229</v>
      </c>
      <c r="J32" s="58" t="s">
        <v>230</v>
      </c>
      <c r="K32" s="127"/>
    </row>
    <row r="33" spans="7:13" x14ac:dyDescent="0.25">
      <c r="G33" s="59">
        <v>3</v>
      </c>
      <c r="H33" s="60" t="s">
        <v>234</v>
      </c>
      <c r="I33" s="61" t="s">
        <v>232</v>
      </c>
      <c r="J33" s="60" t="s">
        <v>233</v>
      </c>
      <c r="K33" s="62"/>
    </row>
    <row r="34" spans="7:13" x14ac:dyDescent="0.25">
      <c r="G34" s="59">
        <v>4</v>
      </c>
      <c r="H34" s="60" t="s">
        <v>237</v>
      </c>
      <c r="I34" s="61" t="s">
        <v>235</v>
      </c>
      <c r="J34" s="60" t="s">
        <v>236</v>
      </c>
      <c r="K34" s="89"/>
    </row>
    <row r="35" spans="7:13" x14ac:dyDescent="0.25">
      <c r="G35" s="59">
        <v>5</v>
      </c>
      <c r="H35" s="60" t="s">
        <v>240</v>
      </c>
      <c r="I35" s="61" t="s">
        <v>238</v>
      </c>
      <c r="J35" s="128" t="s">
        <v>239</v>
      </c>
      <c r="K35" s="129"/>
    </row>
    <row r="36" spans="7:13" x14ac:dyDescent="0.25">
      <c r="G36" s="59">
        <v>6</v>
      </c>
      <c r="H36" s="60" t="s">
        <v>243</v>
      </c>
      <c r="I36" s="61" t="s">
        <v>241</v>
      </c>
      <c r="J36" s="60" t="s">
        <v>242</v>
      </c>
      <c r="K36" s="90"/>
    </row>
    <row r="37" spans="7:13" x14ac:dyDescent="0.25">
      <c r="G37" s="59">
        <v>7</v>
      </c>
      <c r="H37" s="60" t="s">
        <v>246</v>
      </c>
      <c r="I37" s="61" t="s">
        <v>244</v>
      </c>
      <c r="J37" s="60" t="s">
        <v>245</v>
      </c>
      <c r="K37" s="90"/>
    </row>
    <row r="38" spans="7:13" x14ac:dyDescent="0.25">
      <c r="G38" s="59">
        <v>8</v>
      </c>
      <c r="H38" s="60" t="s">
        <v>249</v>
      </c>
      <c r="I38" s="61" t="s">
        <v>247</v>
      </c>
      <c r="J38" s="61" t="s">
        <v>248</v>
      </c>
      <c r="K38" s="113"/>
    </row>
    <row r="39" spans="7:13" x14ac:dyDescent="0.25">
      <c r="G39" s="59">
        <v>9</v>
      </c>
      <c r="H39" s="60" t="s">
        <v>252</v>
      </c>
      <c r="I39" s="61" t="s">
        <v>250</v>
      </c>
      <c r="J39" s="60" t="s">
        <v>251</v>
      </c>
      <c r="K39" s="89"/>
    </row>
    <row r="40" spans="7:13" x14ac:dyDescent="0.25">
      <c r="G40" s="59">
        <v>10</v>
      </c>
      <c r="H40" s="60" t="s">
        <v>255</v>
      </c>
      <c r="I40" s="61" t="s">
        <v>253</v>
      </c>
      <c r="J40" s="61" t="s">
        <v>254</v>
      </c>
      <c r="K40" s="113"/>
    </row>
    <row r="41" spans="7:13" x14ac:dyDescent="0.25">
      <c r="G41" s="59">
        <v>11</v>
      </c>
      <c r="H41" s="60" t="s">
        <v>258</v>
      </c>
      <c r="I41" s="61" t="s">
        <v>256</v>
      </c>
      <c r="J41" s="61" t="s">
        <v>257</v>
      </c>
      <c r="K41" s="113"/>
    </row>
    <row r="42" spans="7:13" ht="15.75" thickBot="1" x14ac:dyDescent="0.3">
      <c r="G42" s="63">
        <v>12</v>
      </c>
      <c r="H42" s="64" t="s">
        <v>261</v>
      </c>
      <c r="I42" s="61" t="s">
        <v>259</v>
      </c>
      <c r="J42" s="61" t="s">
        <v>260</v>
      </c>
      <c r="K42" s="113"/>
    </row>
    <row r="43" spans="7:13" ht="15.75" thickBot="1" x14ac:dyDescent="0.3">
      <c r="G43" s="68"/>
      <c r="H43" s="68"/>
      <c r="I43" s="65" t="s">
        <v>262</v>
      </c>
      <c r="J43" s="65" t="s">
        <v>263</v>
      </c>
      <c r="K43" s="114"/>
    </row>
    <row r="44" spans="7:13" ht="15.75" thickBot="1" x14ac:dyDescent="0.3">
      <c r="G44" s="115" t="s">
        <v>24</v>
      </c>
      <c r="H44" s="91" t="s">
        <v>264</v>
      </c>
      <c r="I44" s="68"/>
      <c r="J44" s="68"/>
      <c r="K44" s="68"/>
    </row>
    <row r="45" spans="7:13" x14ac:dyDescent="0.25">
      <c r="G45" s="116"/>
      <c r="H45" s="118" t="s">
        <v>265</v>
      </c>
      <c r="I45" s="92"/>
      <c r="J45" s="93"/>
      <c r="K45" s="68"/>
      <c r="L45" s="68"/>
      <c r="M45" s="68"/>
    </row>
    <row r="46" spans="7:13" x14ac:dyDescent="0.25">
      <c r="G46" s="116"/>
      <c r="H46" s="94" t="s">
        <v>266</v>
      </c>
      <c r="I46" s="119"/>
      <c r="J46" s="120"/>
      <c r="K46" s="68"/>
      <c r="L46" s="68"/>
      <c r="M46" s="68"/>
    </row>
    <row r="47" spans="7:13" x14ac:dyDescent="0.25">
      <c r="G47" s="116"/>
      <c r="H47" s="94" t="s">
        <v>267</v>
      </c>
      <c r="I47" s="121"/>
      <c r="J47" s="122"/>
      <c r="K47" s="68"/>
      <c r="L47" s="68"/>
      <c r="M47" s="68"/>
    </row>
    <row r="48" spans="7:13" x14ac:dyDescent="0.25">
      <c r="G48" s="116"/>
      <c r="H48" s="94" t="s">
        <v>268</v>
      </c>
      <c r="I48" s="121"/>
      <c r="J48" s="122"/>
      <c r="K48" s="68"/>
      <c r="L48" s="68"/>
      <c r="M48" s="68"/>
    </row>
    <row r="49" spans="7:13" x14ac:dyDescent="0.25">
      <c r="G49" s="116"/>
      <c r="H49" s="97" t="s">
        <v>269</v>
      </c>
      <c r="I49" s="95"/>
      <c r="J49" s="96"/>
      <c r="K49" s="68"/>
      <c r="L49" s="68"/>
      <c r="M49" s="68"/>
    </row>
    <row r="50" spans="7:13" x14ac:dyDescent="0.25">
      <c r="G50" s="116"/>
      <c r="H50" s="97" t="s">
        <v>270</v>
      </c>
      <c r="I50" s="98"/>
      <c r="J50" s="99"/>
      <c r="K50" s="68"/>
      <c r="L50" s="68"/>
      <c r="M50" s="68"/>
    </row>
    <row r="51" spans="7:13" ht="15.75" thickBot="1" x14ac:dyDescent="0.3">
      <c r="G51" s="117"/>
      <c r="H51" s="100" t="s">
        <v>271</v>
      </c>
      <c r="I51" s="98"/>
      <c r="J51" s="99"/>
      <c r="K51" s="68"/>
      <c r="L51" s="68"/>
      <c r="M51" s="68"/>
    </row>
    <row r="52" spans="7:13" ht="15.75" thickBot="1" x14ac:dyDescent="0.3">
      <c r="I52" s="101"/>
      <c r="J52" s="102"/>
      <c r="K52" s="68"/>
      <c r="L52" s="68"/>
      <c r="M52" s="68"/>
    </row>
    <row r="53" spans="7:13" x14ac:dyDescent="0.25">
      <c r="L53" s="68"/>
      <c r="M53" s="68"/>
    </row>
    <row r="54" spans="7:13" x14ac:dyDescent="0.25">
      <c r="L54" s="68"/>
      <c r="M54" s="68"/>
    </row>
    <row r="55" spans="7:13" x14ac:dyDescent="0.25">
      <c r="L55" s="68"/>
      <c r="M55" s="68"/>
    </row>
    <row r="56" spans="7:13" x14ac:dyDescent="0.25">
      <c r="L56" s="68"/>
      <c r="M56" s="68"/>
    </row>
    <row r="57" spans="7:13" x14ac:dyDescent="0.25">
      <c r="L57" s="68"/>
      <c r="M57" s="68"/>
    </row>
    <row r="58" spans="7:13" x14ac:dyDescent="0.25">
      <c r="L58" s="68"/>
      <c r="M58" s="68"/>
    </row>
    <row r="59" spans="7:13" x14ac:dyDescent="0.25">
      <c r="L59" s="68"/>
      <c r="M59" s="68"/>
    </row>
    <row r="60" spans="7:13" x14ac:dyDescent="0.25">
      <c r="L60" s="68"/>
      <c r="M60" s="68"/>
    </row>
    <row r="61" spans="7:13" x14ac:dyDescent="0.25">
      <c r="L61" s="68"/>
      <c r="M61" s="68"/>
    </row>
    <row r="62" spans="7:13" x14ac:dyDescent="0.25">
      <c r="L62" s="68"/>
      <c r="M62" s="68"/>
    </row>
    <row r="63" spans="7:13" x14ac:dyDescent="0.25">
      <c r="L63" s="68"/>
      <c r="M63" s="68"/>
    </row>
    <row r="64" spans="7:13" x14ac:dyDescent="0.25">
      <c r="L64" s="68"/>
      <c r="M64" s="68"/>
    </row>
    <row r="65" spans="12:13" x14ac:dyDescent="0.25">
      <c r="L65" s="68"/>
      <c r="M65" s="68"/>
    </row>
    <row r="66" spans="12:13" x14ac:dyDescent="0.25">
      <c r="L66" s="68"/>
      <c r="M66" s="68"/>
    </row>
    <row r="67" spans="12:13" x14ac:dyDescent="0.25">
      <c r="L67" s="68"/>
      <c r="M67" s="68"/>
    </row>
    <row r="68" spans="12:13" x14ac:dyDescent="0.25">
      <c r="L68" s="68"/>
      <c r="M68" s="68"/>
    </row>
    <row r="69" spans="12:13" x14ac:dyDescent="0.25">
      <c r="L69" s="68"/>
      <c r="M69" s="68"/>
    </row>
  </sheetData>
  <mergeCells count="2">
    <mergeCell ref="O1:R1"/>
    <mergeCell ref="G1:M1"/>
  </mergeCells>
  <conditionalFormatting sqref="B20:C20">
    <cfRule type="cellIs" dxfId="41" priority="6" operator="lessThanOrEqual">
      <formula>0.4</formula>
    </cfRule>
    <cfRule type="cellIs" dxfId="40" priority="4" operator="greaterThanOrEqual">
      <formula>0.5</formula>
    </cfRule>
    <cfRule type="cellIs" dxfId="39" priority="5" operator="between">
      <formula>0.4</formula>
      <formula>0.5</formula>
    </cfRule>
  </conditionalFormatting>
  <conditionalFormatting sqref="B8:D8">
    <cfRule type="cellIs" dxfId="38" priority="41" operator="between">
      <formula>2</formula>
      <formula>4</formula>
    </cfRule>
    <cfRule type="cellIs" dxfId="37" priority="40" operator="greaterThanOrEqual">
      <formula>4</formula>
    </cfRule>
    <cfRule type="cellIs" dxfId="36" priority="42" operator="lessThanOrEqual">
      <formula>2</formula>
    </cfRule>
  </conditionalFormatting>
  <conditionalFormatting sqref="B9:D9">
    <cfRule type="cellIs" dxfId="35" priority="37" operator="greaterThanOrEqual">
      <formula>20</formula>
    </cfRule>
    <cfRule type="cellIs" dxfId="34" priority="39" operator="lessThanOrEqual">
      <formula>10</formula>
    </cfRule>
    <cfRule type="cellIs" dxfId="33" priority="38" operator="between">
      <formula>10</formula>
      <formula>20</formula>
    </cfRule>
  </conditionalFormatting>
  <conditionalFormatting sqref="B10:D10">
    <cfRule type="cellIs" dxfId="32" priority="36" operator="lessThanOrEqual">
      <formula>3</formula>
    </cfRule>
    <cfRule type="cellIs" dxfId="31" priority="35" operator="between">
      <formula>3</formula>
      <formula>6</formula>
    </cfRule>
    <cfRule type="cellIs" dxfId="30" priority="34" operator="greaterThanOrEqual">
      <formula>6</formula>
    </cfRule>
  </conditionalFormatting>
  <conditionalFormatting sqref="B11:D11">
    <cfRule type="cellIs" dxfId="29" priority="32" operator="between">
      <formula>1</formula>
      <formula>3</formula>
    </cfRule>
    <cfRule type="cellIs" dxfId="28" priority="33" operator="lessThanOrEqual">
      <formula>1</formula>
    </cfRule>
    <cfRule type="cellIs" dxfId="27" priority="31" operator="greaterThanOrEqual">
      <formula>3</formula>
    </cfRule>
  </conditionalFormatting>
  <conditionalFormatting sqref="B12:D12">
    <cfRule type="cellIs" dxfId="26" priority="30" operator="lessThanOrEqual">
      <formula>30</formula>
    </cfRule>
    <cfRule type="cellIs" dxfId="25" priority="29" operator="between">
      <formula>30</formula>
      <formula>50</formula>
    </cfRule>
    <cfRule type="cellIs" dxfId="24" priority="28" operator="greaterThanOrEqual">
      <formula>50</formula>
    </cfRule>
  </conditionalFormatting>
  <conditionalFormatting sqref="B13:D13">
    <cfRule type="cellIs" dxfId="23" priority="27" operator="lessThanOrEqual">
      <formula>0.2</formula>
    </cfRule>
    <cfRule type="cellIs" dxfId="22" priority="26" operator="between">
      <formula>0.2</formula>
      <formula>0.4</formula>
    </cfRule>
    <cfRule type="cellIs" dxfId="21" priority="25" operator="greaterThanOrEqual">
      <formula>0.4</formula>
    </cfRule>
  </conditionalFormatting>
  <conditionalFormatting sqref="B14:D14">
    <cfRule type="cellIs" dxfId="20" priority="22" operator="greaterThanOrEqual">
      <formula>2.5</formula>
    </cfRule>
    <cfRule type="cellIs" dxfId="19" priority="23" operator="between">
      <formula>1.5</formula>
      <formula>2.5</formula>
    </cfRule>
    <cfRule type="cellIs" dxfId="18" priority="24" operator="lessThanOrEqual">
      <formula>1.5</formula>
    </cfRule>
  </conditionalFormatting>
  <conditionalFormatting sqref="B15:D15">
    <cfRule type="cellIs" dxfId="17" priority="21" operator="lessThanOrEqual">
      <formula>20</formula>
    </cfRule>
    <cfRule type="cellIs" dxfId="16" priority="20" operator="between">
      <formula>20</formula>
      <formula>40</formula>
    </cfRule>
    <cfRule type="cellIs" dxfId="15" priority="19" operator="greaterThanOrEqual">
      <formula>40</formula>
    </cfRule>
  </conditionalFormatting>
  <conditionalFormatting sqref="B16:D16">
    <cfRule type="cellIs" dxfId="14" priority="17" operator="equal">
      <formula>0.5</formula>
    </cfRule>
    <cfRule type="cellIs" dxfId="13" priority="18" operator="lessThanOrEqual">
      <formula>0.5</formula>
    </cfRule>
    <cfRule type="cellIs" dxfId="12" priority="16" operator="greaterThanOrEqual">
      <formula>0.5</formula>
    </cfRule>
  </conditionalFormatting>
  <conditionalFormatting sqref="B17:D17">
    <cfRule type="cellIs" dxfId="11" priority="15" operator="lessThanOrEqual">
      <formula>5</formula>
    </cfRule>
    <cfRule type="cellIs" dxfId="10" priority="14" operator="between">
      <formula>5</formula>
      <formula>10</formula>
    </cfRule>
    <cfRule type="cellIs" dxfId="9" priority="13" operator="greaterThanOrEqual">
      <formula>10</formula>
    </cfRule>
  </conditionalFormatting>
  <conditionalFormatting sqref="B18:D18">
    <cfRule type="cellIs" dxfId="8" priority="12" operator="lessThanOrEqual">
      <formula>6</formula>
    </cfRule>
    <cfRule type="cellIs" dxfId="7" priority="10" operator="greaterThanOrEqual">
      <formula>12</formula>
    </cfRule>
    <cfRule type="cellIs" dxfId="6" priority="11" operator="between">
      <formula>6</formula>
      <formula>12</formula>
    </cfRule>
  </conditionalFormatting>
  <conditionalFormatting sqref="B19:D19">
    <cfRule type="cellIs" dxfId="5" priority="9" operator="lessThanOrEqual">
      <formula>1</formula>
    </cfRule>
    <cfRule type="cellIs" dxfId="4" priority="8" operator="between">
      <formula>1</formula>
      <formula>1.5</formula>
    </cfRule>
    <cfRule type="cellIs" dxfId="3" priority="7" operator="greaterThanOrEqual">
      <formula>1.5</formula>
    </cfRule>
  </conditionalFormatting>
  <conditionalFormatting sqref="D20">
    <cfRule type="cellIs" dxfId="2" priority="1" operator="greaterThanOrEqual">
      <formula>1.5</formula>
    </cfRule>
    <cfRule type="cellIs" dxfId="1" priority="3" operator="lessThanOrEqual">
      <formula>1</formula>
    </cfRule>
    <cfRule type="cellIs" dxfId="0" priority="2" operator="between">
      <formula>1</formula>
      <formula>1.5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0"/>
  <sheetViews>
    <sheetView workbookViewId="0">
      <selection activeCell="T12" sqref="T12"/>
    </sheetView>
  </sheetViews>
  <sheetFormatPr baseColWidth="10" defaultRowHeight="15" x14ac:dyDescent="0.25"/>
  <cols>
    <col min="1" max="1" width="10.140625" customWidth="1"/>
    <col min="2" max="2" width="4.7109375" bestFit="1" customWidth="1"/>
    <col min="3" max="3" width="7.140625" bestFit="1" customWidth="1"/>
    <col min="4" max="4" width="21.7109375" bestFit="1" customWidth="1"/>
    <col min="5" max="5" width="17" bestFit="1" customWidth="1"/>
    <col min="6" max="6" width="6" hidden="1" customWidth="1"/>
    <col min="7" max="7" width="23.140625" bestFit="1" customWidth="1"/>
    <col min="8" max="8" width="18.85546875" bestFit="1" customWidth="1"/>
    <col min="9" max="9" width="15" bestFit="1" customWidth="1"/>
    <col min="10" max="10" width="30.7109375" bestFit="1" customWidth="1"/>
    <col min="11" max="11" width="18.5703125" customWidth="1"/>
    <col min="12" max="12" width="18" bestFit="1" customWidth="1"/>
    <col min="13" max="13" width="26.85546875" bestFit="1" customWidth="1"/>
    <col min="14" max="14" width="28" customWidth="1"/>
    <col min="15" max="15" width="19.42578125" bestFit="1" customWidth="1"/>
    <col min="16" max="16" width="23.85546875" customWidth="1"/>
    <col min="17" max="17" width="17.5703125" customWidth="1"/>
    <col min="18" max="18" width="28.7109375" bestFit="1" customWidth="1"/>
    <col min="19" max="19" width="18" bestFit="1" customWidth="1"/>
    <col min="22" max="22" width="17.5703125" bestFit="1" customWidth="1"/>
    <col min="23" max="23" width="20" bestFit="1" customWidth="1"/>
  </cols>
  <sheetData>
    <row r="1" spans="1:23" ht="15.75" thickBot="1" x14ac:dyDescent="0.3">
      <c r="A1" s="222" t="s">
        <v>11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3"/>
      <c r="M1" s="220" t="s">
        <v>316</v>
      </c>
      <c r="N1" s="220"/>
      <c r="O1" s="221"/>
      <c r="R1" s="211" t="s">
        <v>335</v>
      </c>
      <c r="S1" s="212"/>
      <c r="T1" s="212"/>
      <c r="U1" s="213"/>
      <c r="V1" s="184"/>
    </row>
    <row r="2" spans="1:23" ht="15.75" thickBot="1" x14ac:dyDescent="0.3">
      <c r="A2" s="3" t="s">
        <v>1</v>
      </c>
      <c r="B2" s="3" t="s">
        <v>0</v>
      </c>
      <c r="C2" s="3" t="s">
        <v>10</v>
      </c>
      <c r="D2" s="3" t="s">
        <v>291</v>
      </c>
      <c r="E2" s="3" t="s">
        <v>77</v>
      </c>
      <c r="F2" s="3" t="s">
        <v>17</v>
      </c>
      <c r="G2" s="3" t="s">
        <v>280</v>
      </c>
      <c r="H2" s="3" t="s">
        <v>282</v>
      </c>
      <c r="I2" s="3" t="s">
        <v>286</v>
      </c>
      <c r="J2" s="3" t="s">
        <v>277</v>
      </c>
      <c r="K2" s="3" t="s">
        <v>292</v>
      </c>
      <c r="L2" s="163" t="s">
        <v>23</v>
      </c>
      <c r="M2" s="161" t="s">
        <v>277</v>
      </c>
      <c r="N2" s="3" t="s">
        <v>292</v>
      </c>
      <c r="O2" s="3" t="s">
        <v>23</v>
      </c>
      <c r="R2" s="200" t="s">
        <v>336</v>
      </c>
      <c r="S2" s="201" t="s">
        <v>337</v>
      </c>
      <c r="T2" s="202" t="s">
        <v>338</v>
      </c>
      <c r="U2" s="203" t="s">
        <v>343</v>
      </c>
      <c r="V2" s="214" t="s">
        <v>339</v>
      </c>
      <c r="W2" s="215"/>
    </row>
    <row r="3" spans="1:23" x14ac:dyDescent="0.25">
      <c r="A3" s="217" t="s">
        <v>329</v>
      </c>
      <c r="B3" s="4">
        <v>1</v>
      </c>
      <c r="C3" s="6">
        <f>'Resultado Analisis suelos '!B$2</f>
        <v>0</v>
      </c>
      <c r="D3" s="9">
        <f>'Resultado Analisis suelos '!B3</f>
        <v>0</v>
      </c>
      <c r="E3" s="9">
        <f>'Resultado Analisis suelos '!B$8/100</f>
        <v>0</v>
      </c>
      <c r="F3" s="5">
        <f>ROUND('Parametros de referencia'!$C$3*('Parametros de referencia'!$C$9*'Parametros de referencia'!$C$4)*(E3),1)</f>
        <v>0</v>
      </c>
      <c r="G3" s="9">
        <f>F$3*'Parametros de referencia'!$C$10*('Parametros de referencia'!$C$5)*('Parametros de referencia'!$C$6) * 'Parametros de referencia'!C$7</f>
        <v>0</v>
      </c>
      <c r="H3" s="6">
        <f>D3*'Parametros de referencia'!L$4</f>
        <v>0</v>
      </c>
      <c r="I3" s="9">
        <f>(H$3-G$3)</f>
        <v>0</v>
      </c>
      <c r="J3" s="6"/>
      <c r="K3" s="6" t="b">
        <f>IF(J$3="UREA ESPECIFICACION",((I$3/'Parametros de referencia'!$V$3)/'Parametros de referencia'!AI$3),IF(J$3="SULFATO AMONIO-CAMPO ESPEC",((I$3/'Parametros de referencia'!V$10)/'Parametros de referencia'!AI$10),IF(J$3="NITRO XTEND",((I$3/'Parametros de referencia'!V$13)/'Parametros de referencia'!AI$13))))</f>
        <v>0</v>
      </c>
      <c r="L3" s="164"/>
      <c r="M3" s="162"/>
      <c r="N3" s="6"/>
      <c r="O3" s="6"/>
      <c r="R3" s="185" t="s">
        <v>340</v>
      </c>
      <c r="S3" s="192">
        <f>C3</f>
        <v>0</v>
      </c>
      <c r="T3" s="192">
        <f>C4</f>
        <v>0</v>
      </c>
      <c r="U3" s="197">
        <f>C5</f>
        <v>0</v>
      </c>
      <c r="V3" s="186" t="s">
        <v>341</v>
      </c>
      <c r="W3" s="187" t="s">
        <v>342</v>
      </c>
    </row>
    <row r="4" spans="1:23" x14ac:dyDescent="0.25">
      <c r="A4" s="217"/>
      <c r="B4" s="4">
        <v>2</v>
      </c>
      <c r="C4" s="6">
        <f>'Resultado Analisis suelos '!C$2</f>
        <v>0</v>
      </c>
      <c r="D4" s="9">
        <v>0</v>
      </c>
      <c r="E4" s="9">
        <f>'Resultado Analisis suelos '!C$8/100</f>
        <v>0</v>
      </c>
      <c r="F4" s="5">
        <f>ROUND('Parametros de referencia'!$C$3*('Parametros de referencia'!$C$9*'Parametros de referencia'!$C$4)*(E4),1)</f>
        <v>0</v>
      </c>
      <c r="G4" s="9">
        <f>F$4*'Parametros de referencia'!$C$10*('Parametros de referencia'!$C$5)*('Parametros de referencia'!$C$6) * 'Parametros de referencia'!C$7</f>
        <v>0</v>
      </c>
      <c r="H4" s="6">
        <f>D4*'Parametros de referencia'!L$4</f>
        <v>0</v>
      </c>
      <c r="I4" s="9">
        <f>(H$4-G$4)</f>
        <v>0</v>
      </c>
      <c r="J4" s="6"/>
      <c r="K4" s="6" t="b">
        <f>IF(J$4="UREA ESPECIFICACION",((I$4/'Parametros de referencia'!$V$3)/'Parametros de referencia'!AI$3),IF(J$4="SULFATO AMONIO-CAMPO ESPEC",((I$4/'Parametros de referencia'!V$10)/'Parametros de referencia'!AI$10),IF(J$4="NITRO XTEND",((I$4/'Parametros de referencia'!V$13)/'Parametros de referencia'!AI$13))))</f>
        <v>0</v>
      </c>
      <c r="L4" s="164"/>
      <c r="M4" s="162"/>
      <c r="N4" s="6"/>
      <c r="O4" s="6"/>
      <c r="R4" s="188">
        <f>J3</f>
        <v>0</v>
      </c>
      <c r="S4" s="193" t="b">
        <f>K3</f>
        <v>0</v>
      </c>
      <c r="T4" s="193" t="b">
        <f>K4</f>
        <v>0</v>
      </c>
      <c r="U4" s="198" t="b">
        <f>K5</f>
        <v>0</v>
      </c>
      <c r="V4" s="188">
        <f>($S$3*S4)+($T$3*T4)+($U$3*U4)</f>
        <v>0</v>
      </c>
      <c r="W4" s="189" t="e">
        <f>V4/SUM($S$3:$U$3)</f>
        <v>#DIV/0!</v>
      </c>
    </row>
    <row r="5" spans="1:23" x14ac:dyDescent="0.25">
      <c r="A5" s="217"/>
      <c r="B5" s="4">
        <v>3</v>
      </c>
      <c r="C5" s="6">
        <f>'Resultado Analisis suelos '!D$2</f>
        <v>0</v>
      </c>
      <c r="D5" s="9">
        <f>'Resultado Analisis suelos '!D3</f>
        <v>0</v>
      </c>
      <c r="E5" s="9">
        <f>'Resultado Analisis suelos '!D$8/100</f>
        <v>0</v>
      </c>
      <c r="F5" s="5">
        <f>ROUND('Parametros de referencia'!$C$3*('Parametros de referencia'!$C$9*'Parametros de referencia'!$C$4)*(E5),1)</f>
        <v>0</v>
      </c>
      <c r="G5" s="9">
        <f>F$5*'Parametros de referencia'!$C$10*('Parametros de referencia'!$C$5)*('Parametros de referencia'!$C$6) * 'Parametros de referencia'!C$7</f>
        <v>0</v>
      </c>
      <c r="H5" s="6">
        <f>D5*'Parametros de referencia'!L$4</f>
        <v>0</v>
      </c>
      <c r="I5" s="9">
        <f>(H$5-G$5)</f>
        <v>0</v>
      </c>
      <c r="J5" s="6"/>
      <c r="K5" s="6" t="b">
        <f>IF(J$5="UREA ESPECIFICACION",((I$5/'Parametros de referencia'!$V$3)/'Parametros de referencia'!AI$3),IF(J$5="SULFATO AMONIO-CAMPO ESPEC",((I$5/'Parametros de referencia'!V$10)/'Parametros de referencia'!AI$10),IF(J$5="NITRO XTEND",((I$5/'Parametros de referencia'!V$13)/'Parametros de referencia'!AI$13))))</f>
        <v>0</v>
      </c>
      <c r="L5" s="164"/>
      <c r="M5" s="162"/>
      <c r="N5" s="6"/>
      <c r="O5" s="6"/>
      <c r="Q5" s="105"/>
      <c r="R5" s="188">
        <f>J17</f>
        <v>0</v>
      </c>
      <c r="S5" s="193">
        <f>Q17</f>
        <v>0</v>
      </c>
      <c r="T5" s="193">
        <f>0</f>
        <v>0</v>
      </c>
      <c r="U5" s="198">
        <v>0</v>
      </c>
      <c r="V5" s="188">
        <f>($S$3*S5)+($T$3*T5)+($U$3*U5)</f>
        <v>0</v>
      </c>
      <c r="W5" s="189" t="e">
        <f t="shared" ref="W5:W6" si="0">V5/SUM($S$3:$U$3)</f>
        <v>#DIV/0!</v>
      </c>
    </row>
    <row r="6" spans="1:23" ht="15.75" thickBot="1" x14ac:dyDescent="0.3">
      <c r="A6" s="157"/>
      <c r="B6" s="1"/>
      <c r="C6" s="158"/>
      <c r="D6" s="154"/>
      <c r="E6" s="154"/>
      <c r="F6" s="159"/>
      <c r="G6" s="154"/>
      <c r="H6" s="158"/>
      <c r="I6" s="154"/>
      <c r="J6" s="158"/>
      <c r="L6" s="158"/>
      <c r="M6" s="158"/>
      <c r="N6" s="158"/>
      <c r="O6" s="158"/>
      <c r="Q6" s="105"/>
      <c r="R6" s="195" t="s">
        <v>296</v>
      </c>
      <c r="S6" s="196">
        <v>50</v>
      </c>
      <c r="T6" s="194">
        <v>50</v>
      </c>
      <c r="U6" s="199">
        <v>50</v>
      </c>
      <c r="V6" s="190">
        <f>($S$3*S6)+($T$3*T6)+($U$3*U6)</f>
        <v>0</v>
      </c>
      <c r="W6" s="191" t="e">
        <f t="shared" si="0"/>
        <v>#DIV/0!</v>
      </c>
    </row>
    <row r="7" spans="1:23" x14ac:dyDescent="0.25">
      <c r="C7" s="1"/>
      <c r="D7" s="1"/>
    </row>
    <row r="8" spans="1:23" x14ac:dyDescent="0.25">
      <c r="A8" s="229" t="s">
        <v>15</v>
      </c>
      <c r="B8" s="229"/>
      <c r="C8" s="229"/>
      <c r="D8" s="229"/>
      <c r="E8" s="229"/>
      <c r="F8" s="229"/>
      <c r="G8" s="229"/>
      <c r="H8" s="229"/>
      <c r="I8" s="229"/>
      <c r="J8" s="229"/>
      <c r="K8" s="229"/>
      <c r="L8" s="229"/>
    </row>
    <row r="9" spans="1:23" x14ac:dyDescent="0.25">
      <c r="A9" s="3" t="s">
        <v>1</v>
      </c>
      <c r="B9" s="3" t="s">
        <v>0</v>
      </c>
      <c r="C9" s="3" t="s">
        <v>10</v>
      </c>
      <c r="D9" s="3" t="s">
        <v>291</v>
      </c>
      <c r="E9" s="3" t="s">
        <v>16</v>
      </c>
      <c r="F9" s="112"/>
      <c r="G9" s="3" t="s">
        <v>279</v>
      </c>
      <c r="H9" s="3" t="s">
        <v>281</v>
      </c>
      <c r="I9" s="3" t="s">
        <v>287</v>
      </c>
      <c r="J9" s="3" t="s">
        <v>277</v>
      </c>
      <c r="K9" s="3" t="s">
        <v>292</v>
      </c>
      <c r="L9" s="3" t="s">
        <v>23</v>
      </c>
    </row>
    <row r="10" spans="1:23" x14ac:dyDescent="0.25">
      <c r="A10" s="217" t="str">
        <f>A3</f>
        <v>017002F</v>
      </c>
      <c r="B10" s="4">
        <v>1</v>
      </c>
      <c r="C10" s="6">
        <f>C$3</f>
        <v>0</v>
      </c>
      <c r="D10" s="6">
        <f>D$3</f>
        <v>0</v>
      </c>
      <c r="E10" s="9">
        <f>'Resultado Analisis suelos '!B$17</f>
        <v>0</v>
      </c>
      <c r="F10" s="112"/>
      <c r="G10" s="9">
        <f>'Parametros de referencia'!C$3*('Parametros de referencia'!$C$9*'Parametros de referencia'!C$4)*'Parametros de referencia'!$C$10*(E$10/'Parametros de referencia'!$C$17)</f>
        <v>0</v>
      </c>
      <c r="H10" s="9">
        <f>D10*'Parametros de referencia'!$L$5</f>
        <v>0</v>
      </c>
      <c r="I10" s="9">
        <f>(H$10-G$10)</f>
        <v>0</v>
      </c>
      <c r="J10" s="9"/>
      <c r="K10" s="9" t="b">
        <f>IF(J$10="FOSFATO DIAMONICO (DAP)",(($I$10/'Parametros de referencia'!$W$14)/'Parametros de referencia'!AI$14),IF(J$10="FOSQUIMINT VEINTE-8",((I$10/'Parametros de referencia'!W$9)/'Parametros de referencia'!AI$9)))</f>
        <v>0</v>
      </c>
      <c r="L10" s="9">
        <f>$K$10*0.7</f>
        <v>0</v>
      </c>
    </row>
    <row r="11" spans="1:23" x14ac:dyDescent="0.25">
      <c r="A11" s="218"/>
      <c r="B11" s="4">
        <v>2</v>
      </c>
      <c r="C11" s="6">
        <f>C$4</f>
        <v>0</v>
      </c>
      <c r="D11" s="6">
        <f>D$4</f>
        <v>0</v>
      </c>
      <c r="E11" s="9">
        <f>'Resultado Analisis suelos '!C$17</f>
        <v>0</v>
      </c>
      <c r="F11" s="112"/>
      <c r="G11" s="9">
        <f>'Parametros de referencia'!C$3*('Parametros de referencia'!$C$9*'Parametros de referencia'!C$4)*'Parametros de referencia'!$C$10*(E$11/'Parametros de referencia'!$C$17)</f>
        <v>0</v>
      </c>
      <c r="H11" s="9">
        <f>D11*'Parametros de referencia'!$L$5</f>
        <v>0</v>
      </c>
      <c r="I11" s="9">
        <f>(H$11-G$11)</f>
        <v>0</v>
      </c>
      <c r="J11" s="9"/>
      <c r="K11" s="9">
        <f>IF(J$11="FOSFATO DIAMONICO (DAP)",((I$11/'Parametros de referencia'!$W$14)/'Parametros de referencia'!AI$14),IF(J$11="FOSQUIMINT VEINTE-8",((I$11/'Parametros de referencia'!W$9)/'Parametros de referencia'!AI$9),0))</f>
        <v>0</v>
      </c>
      <c r="L11" s="9">
        <f>$K$11*0.7</f>
        <v>0</v>
      </c>
    </row>
    <row r="12" spans="1:23" x14ac:dyDescent="0.25">
      <c r="A12" s="218"/>
      <c r="B12" s="4">
        <v>3</v>
      </c>
      <c r="C12" s="6">
        <f>$C$5</f>
        <v>0</v>
      </c>
      <c r="D12" s="6">
        <f>D$5</f>
        <v>0</v>
      </c>
      <c r="E12" s="9">
        <f>'Resultado Analisis suelos '!D$17</f>
        <v>0</v>
      </c>
      <c r="F12" s="112"/>
      <c r="G12" s="9">
        <f>'Parametros de referencia'!C$3*('Parametros de referencia'!$C$9*'Parametros de referencia'!C$4)*'Parametros de referencia'!$C$10*(E$12/'Parametros de referencia'!$C$17)</f>
        <v>0</v>
      </c>
      <c r="H12" s="9">
        <f>D12*'Parametros de referencia'!$L$5</f>
        <v>0</v>
      </c>
      <c r="I12" s="9">
        <f>(H$12-G$12)</f>
        <v>0</v>
      </c>
      <c r="J12" s="9"/>
      <c r="K12" s="9">
        <f>IF(J$12="FOSFATO DIAMONICO (DAP)",((I$12/'Parametros de referencia'!$W$14)/'Parametros de referencia'!AI$14),IF(J$12="FOSQUIMINT VEINTE-8",((I$12/'Parametros de referencia'!W$9)/'Parametros de referencia'!AI$9),0))</f>
        <v>0</v>
      </c>
      <c r="L12" s="9">
        <f>$K$12*0.7</f>
        <v>0</v>
      </c>
    </row>
    <row r="14" spans="1:23" ht="15.75" thickBot="1" x14ac:dyDescent="0.3"/>
    <row r="15" spans="1:23" x14ac:dyDescent="0.25">
      <c r="A15" s="230" t="s">
        <v>19</v>
      </c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O15" s="224" t="s">
        <v>317</v>
      </c>
      <c r="P15" s="225"/>
      <c r="Q15" s="226"/>
    </row>
    <row r="16" spans="1:23" x14ac:dyDescent="0.25">
      <c r="A16" s="3" t="s">
        <v>1</v>
      </c>
      <c r="B16" s="3" t="s">
        <v>0</v>
      </c>
      <c r="C16" s="3" t="s">
        <v>10</v>
      </c>
      <c r="D16" s="3" t="s">
        <v>291</v>
      </c>
      <c r="E16" s="3" t="s">
        <v>20</v>
      </c>
      <c r="F16" s="3" t="s">
        <v>21</v>
      </c>
      <c r="G16" s="3" t="s">
        <v>22</v>
      </c>
      <c r="H16" s="3" t="s">
        <v>283</v>
      </c>
      <c r="I16" s="3" t="s">
        <v>288</v>
      </c>
      <c r="J16" s="3" t="s">
        <v>277</v>
      </c>
      <c r="K16" s="3" t="s">
        <v>292</v>
      </c>
      <c r="L16" s="3" t="s">
        <v>23</v>
      </c>
      <c r="M16" s="3" t="s">
        <v>313</v>
      </c>
      <c r="O16" s="165" t="s">
        <v>318</v>
      </c>
      <c r="P16" s="3" t="s">
        <v>319</v>
      </c>
      <c r="Q16" s="166" t="s">
        <v>320</v>
      </c>
    </row>
    <row r="17" spans="1:20" x14ac:dyDescent="0.25">
      <c r="A17" s="217" t="str">
        <f>A10</f>
        <v>017002F</v>
      </c>
      <c r="B17" s="4">
        <v>1</v>
      </c>
      <c r="C17" s="6">
        <f>C$3</f>
        <v>0</v>
      </c>
      <c r="D17" s="9">
        <f>D$3</f>
        <v>0</v>
      </c>
      <c r="E17" s="9">
        <f>'Resultado Analisis suelos '!B$13</f>
        <v>0</v>
      </c>
      <c r="F17" s="9">
        <f>E17*'Parametros de referencia'!$C$11</f>
        <v>0</v>
      </c>
      <c r="G17" s="9">
        <f>'Parametros de referencia'!C$3*('Parametros de referencia'!$C$9*'Parametros de referencia'!C$4)*'Parametros de referencia'!$C$10*(F$17/'Parametros de referencia'!$C$17)</f>
        <v>0</v>
      </c>
      <c r="H17" s="9">
        <f>D17*'Parametros de referencia'!$L$6</f>
        <v>0</v>
      </c>
      <c r="I17" s="9">
        <f>(H$17-G17)</f>
        <v>0</v>
      </c>
      <c r="J17" s="9"/>
      <c r="K17" s="9">
        <f>IF(J$17="CLORURO DE POTASIO ESPECIFI",(($I$17/'Parametros de referencia'!$X$7)/'Parametros de referencia'!AI$7),0)</f>
        <v>0</v>
      </c>
      <c r="L17" s="9">
        <f>$K$17*0.7</f>
        <v>0</v>
      </c>
      <c r="M17" s="112">
        <v>50</v>
      </c>
      <c r="O17" s="169">
        <f>$D$17*'Parametros de referencia'!$L$6</f>
        <v>0</v>
      </c>
      <c r="P17" s="167" t="e">
        <f>IF('Resultado Analisis suelos '!$B$25&lt;40,"No Aplicar",IF(AND('Resultado Analisis suelos '!$B$25&gt;40,'Resultado Analisis suelos '!$B$25&lt;70),'Determinacion de Dosis'!O17*0.2,IF('Resultado Analisis suelos '!$B$25&gt;=70,0.35*'Determinacion de Dosis'!O17,0)))</f>
        <v>#DIV/0!</v>
      </c>
      <c r="Q17" s="170">
        <f>IF(J$17="CLORURO DE POTASIO ESPECIFI",(($P$17/'Parametros de referencia'!$X$7)/'Parametros de referencia'!AI$7),0)</f>
        <v>0</v>
      </c>
    </row>
    <row r="18" spans="1:20" x14ac:dyDescent="0.25">
      <c r="A18" s="218"/>
      <c r="B18" s="4">
        <v>2</v>
      </c>
      <c r="C18" s="6">
        <f>C$4</f>
        <v>0</v>
      </c>
      <c r="D18" s="9">
        <f>D$4</f>
        <v>0</v>
      </c>
      <c r="E18" s="9">
        <f>'Resultado Analisis suelos '!C$13</f>
        <v>0</v>
      </c>
      <c r="F18" s="9">
        <f>E18*'Parametros de referencia'!$C$11</f>
        <v>0</v>
      </c>
      <c r="G18" s="9">
        <f>'Parametros de referencia'!C$3*('Parametros de referencia'!$C$9*'Parametros de referencia'!C$4)*'Parametros de referencia'!$C$10*(F$18/'Parametros de referencia'!$C$17)</f>
        <v>0</v>
      </c>
      <c r="H18" s="9">
        <f>D18*'Parametros de referencia'!$L$6</f>
        <v>0</v>
      </c>
      <c r="I18" s="9">
        <f>(H18-G18)</f>
        <v>0</v>
      </c>
      <c r="J18" s="9"/>
      <c r="K18" s="9">
        <f>IF(J$18="CLORURO DE POTASIO ESPECIFI",(($I$18/'Parametros de referencia'!$X$7)/'Parametros de referencia'!AI$7),0)</f>
        <v>0</v>
      </c>
      <c r="L18" s="9">
        <f>$K$18*0.7</f>
        <v>0</v>
      </c>
      <c r="M18" s="112">
        <v>50</v>
      </c>
      <c r="O18" s="169">
        <f>$D$18*'Parametros de referencia'!$L$6</f>
        <v>0</v>
      </c>
      <c r="P18" s="168" t="e">
        <f>IF('Resultado Analisis suelos '!$C$25&lt;40,"No Aplicar",IF(AND('Resultado Analisis suelos '!$C$25&gt;40,'Resultado Analisis suelos '!$C$25&lt;70),'Determinacion de Dosis'!O18*0.31,IF('Resultado Analisis suelos '!$C$25&gt;=70,0.5*'Determinacion de Dosis'!O18,0)))</f>
        <v>#DIV/0!</v>
      </c>
      <c r="Q18" s="171">
        <f>IF(J$18="CLORURO DE POTASIO ESPECIFI",(($P$18/'Parametros de referencia'!$X$7)/'Parametros de referencia'!AI$7),0)</f>
        <v>0</v>
      </c>
    </row>
    <row r="19" spans="1:20" ht="15.75" thickBot="1" x14ac:dyDescent="0.3">
      <c r="A19" s="218"/>
      <c r="B19" s="4">
        <v>3</v>
      </c>
      <c r="C19" s="6">
        <f>C$5</f>
        <v>0</v>
      </c>
      <c r="D19" s="9">
        <f>D$5</f>
        <v>0</v>
      </c>
      <c r="E19" s="9">
        <f>'Resultado Analisis suelos '!D$13</f>
        <v>0</v>
      </c>
      <c r="F19" s="9">
        <f>E19*'Parametros de referencia'!$C$11</f>
        <v>0</v>
      </c>
      <c r="G19" s="9">
        <f>'Parametros de referencia'!C$3*('Parametros de referencia'!$C$9*'Parametros de referencia'!C$4)*'Parametros de referencia'!$C$10*(F$19/'Parametros de referencia'!$C$17)</f>
        <v>0</v>
      </c>
      <c r="H19" s="9">
        <f>D19*'Parametros de referencia'!$L$6</f>
        <v>0</v>
      </c>
      <c r="I19" s="9">
        <f>(H19-G19)</f>
        <v>0</v>
      </c>
      <c r="J19" s="9"/>
      <c r="K19" s="9">
        <f>IF(J$19="CLORURO DE POTASIO ESPECIFI",(($I$19/'Parametros de referencia'!$X$7)/'Parametros de referencia'!AI$7),0)</f>
        <v>0</v>
      </c>
      <c r="L19" s="9">
        <f>$K$19*0.7</f>
        <v>0</v>
      </c>
      <c r="M19" s="112">
        <v>50</v>
      </c>
      <c r="O19" s="172">
        <f>$D$19*'Parametros de referencia'!$L$6</f>
        <v>0</v>
      </c>
      <c r="P19" s="173" t="e">
        <f>IF('Resultado Analisis suelos '!$D$25&lt;40,"No Aplicar",IF(AND('Resultado Analisis suelos '!$D$25&gt;40,'Resultado Analisis suelos '!$D$25&lt;70),'Determinacion de Dosis'!O19*0.1,IF('Resultado Analisis suelos '!$D$25&gt;=70,0.15*'Determinacion de Dosis'!O19,0)))</f>
        <v>#DIV/0!</v>
      </c>
      <c r="Q19" s="174">
        <f>IF(J$19="CLORURO DE POTASIO ESPECIFI",(($P$19/'Parametros de referencia'!$X$7)/'Parametros de referencia'!AI$7),0)</f>
        <v>0</v>
      </c>
      <c r="T19" s="153"/>
    </row>
    <row r="20" spans="1:20" x14ac:dyDescent="0.25">
      <c r="A20" s="157"/>
      <c r="B20" s="1"/>
      <c r="C20" s="158"/>
      <c r="D20" s="154"/>
      <c r="E20" s="154"/>
      <c r="F20" s="154"/>
      <c r="G20" s="154"/>
      <c r="H20" s="154"/>
      <c r="I20" s="154"/>
      <c r="J20" s="154"/>
      <c r="K20" s="154"/>
      <c r="L20" s="154"/>
      <c r="Q20" s="160"/>
      <c r="T20" s="153"/>
    </row>
    <row r="21" spans="1:20" x14ac:dyDescent="0.25">
      <c r="M21" s="2"/>
      <c r="N21" s="2"/>
      <c r="O21" s="2"/>
      <c r="P21" s="2"/>
    </row>
    <row r="22" spans="1:20" x14ac:dyDescent="0.25">
      <c r="A22" s="227" t="s">
        <v>154</v>
      </c>
      <c r="B22" s="227"/>
      <c r="C22" s="227"/>
      <c r="D22" s="227"/>
      <c r="E22" s="227"/>
      <c r="F22" s="227"/>
      <c r="G22" s="227"/>
      <c r="H22" s="227"/>
      <c r="I22" s="227"/>
      <c r="J22" s="227"/>
      <c r="K22" s="227"/>
      <c r="L22" s="228"/>
    </row>
    <row r="23" spans="1:20" x14ac:dyDescent="0.25">
      <c r="A23" s="3" t="s">
        <v>1</v>
      </c>
      <c r="B23" s="3" t="s">
        <v>0</v>
      </c>
      <c r="C23" s="3" t="s">
        <v>10</v>
      </c>
      <c r="D23" s="3" t="s">
        <v>291</v>
      </c>
      <c r="E23" s="8" t="s">
        <v>16</v>
      </c>
      <c r="G23" s="8" t="s">
        <v>276</v>
      </c>
      <c r="H23" s="8" t="s">
        <v>284</v>
      </c>
      <c r="I23" s="7" t="s">
        <v>289</v>
      </c>
      <c r="J23" s="3" t="s">
        <v>277</v>
      </c>
      <c r="K23" s="3" t="s">
        <v>292</v>
      </c>
      <c r="L23" s="3" t="s">
        <v>23</v>
      </c>
    </row>
    <row r="24" spans="1:20" x14ac:dyDescent="0.25">
      <c r="A24" s="217" t="str">
        <f>A3</f>
        <v>017002F</v>
      </c>
      <c r="B24" s="4">
        <v>1</v>
      </c>
      <c r="C24" s="6">
        <f>C$3</f>
        <v>0</v>
      </c>
      <c r="D24" s="6">
        <f>D$3</f>
        <v>0</v>
      </c>
      <c r="E24" s="9">
        <f>'Resultado Analisis suelos '!B$20</f>
        <v>0</v>
      </c>
      <c r="F24" s="104"/>
      <c r="G24" s="9">
        <f>'Parametros de referencia'!C$3*('Parametros de referencia'!$C$9*'Parametros de referencia'!C$4)*'Parametros de referencia'!$C$10*(E$24/'Parametros de referencia'!$C$17)</f>
        <v>0</v>
      </c>
      <c r="H24" s="9">
        <f>(D24*'Parametros de referencia'!L$15)/1000</f>
        <v>0</v>
      </c>
      <c r="I24" s="9">
        <f>(H24-G24)</f>
        <v>0</v>
      </c>
      <c r="J24" s="9"/>
      <c r="K24" s="9">
        <f>IF(J$24="ZINCOFERTIL X 20KG",((I$24/'Parametros de referencia'!$AD$4)/'Parametros de referencia'!AI$4),IF(J$24="MICROFERTIL X 46KG",((I$24/'Parametros de referencia'!AD$5)/'Parametros de referencia'!AI$5),IF(J$24="BOROZINCO",((I$24/'Parametros de referencia'!AD$6)/'Parametros de referencia'!AI$6),IF(J$24="FERTICANA ESPECIFICACION",((I$24/'Parametros de referencia'!$AD$8)/'Parametros de referencia'!$AI$8),0))))</f>
        <v>0</v>
      </c>
      <c r="L24" s="9">
        <f>$K$24*0.7</f>
        <v>0</v>
      </c>
    </row>
    <row r="25" spans="1:20" x14ac:dyDescent="0.25">
      <c r="A25" s="218"/>
      <c r="B25" s="4">
        <v>2</v>
      </c>
      <c r="C25" s="6">
        <f>C$4</f>
        <v>0</v>
      </c>
      <c r="D25" s="6">
        <f>D$4</f>
        <v>0</v>
      </c>
      <c r="E25" s="9">
        <f>'Resultado Analisis suelos '!C$20</f>
        <v>0</v>
      </c>
      <c r="F25" s="104"/>
      <c r="G25" s="9">
        <f>'Parametros de referencia'!C$3*('Parametros de referencia'!$C$9*'Parametros de referencia'!C$4)*'Parametros de referencia'!$C$10*(E$25/'Parametros de referencia'!$C$17)</f>
        <v>0</v>
      </c>
      <c r="H25" s="9">
        <f>(D25*'Parametros de referencia'!L$15)/1000</f>
        <v>0</v>
      </c>
      <c r="I25" s="9">
        <f>(H25-G25)</f>
        <v>0</v>
      </c>
      <c r="J25" s="9"/>
      <c r="K25" s="9">
        <f>IF(J$25="ZINCOFERTIL X 20KG",((I$25/'Parametros de referencia'!$AD$4)/'Parametros de referencia'!AI$4),IF(J$25="MICROFERTIL X 46KG",((I$25/'Parametros de referencia'!AD$5)/'Parametros de referencia'!AI$5),IF(J$25="BOROZINCO",((I$25/'Parametros de referencia'!AD$6)/'Parametros de referencia'!AI$6),IF(J$25="FERTICANA ESPECIFICACION",((I$25/'Parametros de referencia'!$AD$8)/'Parametros de referencia'!$AI$8),0))))</f>
        <v>0</v>
      </c>
      <c r="L25" s="9">
        <f>$K$25*0.7</f>
        <v>0</v>
      </c>
    </row>
    <row r="26" spans="1:20" x14ac:dyDescent="0.25">
      <c r="A26" s="157"/>
      <c r="B26" s="1"/>
      <c r="C26" s="158"/>
      <c r="D26" s="158"/>
      <c r="E26" s="154"/>
      <c r="F26" s="104"/>
      <c r="G26" s="154"/>
      <c r="H26" s="154"/>
      <c r="I26" s="154"/>
      <c r="J26" s="154"/>
      <c r="K26" s="154"/>
      <c r="L26" s="154"/>
    </row>
    <row r="29" spans="1:20" x14ac:dyDescent="0.25">
      <c r="A29" s="219" t="s">
        <v>155</v>
      </c>
      <c r="B29" s="219"/>
      <c r="C29" s="219"/>
      <c r="D29" s="219"/>
      <c r="E29" s="219"/>
      <c r="F29" s="219"/>
      <c r="G29" s="219"/>
      <c r="H29" s="219"/>
      <c r="I29" s="219"/>
      <c r="J29" s="219"/>
      <c r="K29" s="219"/>
      <c r="L29" s="219"/>
    </row>
    <row r="30" spans="1:20" x14ac:dyDescent="0.25">
      <c r="A30" s="3" t="s">
        <v>1</v>
      </c>
      <c r="B30" s="3" t="s">
        <v>0</v>
      </c>
      <c r="C30" s="3" t="s">
        <v>10</v>
      </c>
      <c r="D30" s="3" t="s">
        <v>291</v>
      </c>
      <c r="E30" s="8" t="s">
        <v>16</v>
      </c>
      <c r="G30" s="8" t="s">
        <v>275</v>
      </c>
      <c r="H30" s="8" t="s">
        <v>285</v>
      </c>
      <c r="I30" s="7" t="s">
        <v>290</v>
      </c>
      <c r="J30" s="3" t="s">
        <v>277</v>
      </c>
      <c r="K30" s="3" t="s">
        <v>292</v>
      </c>
      <c r="L30" s="3" t="s">
        <v>23</v>
      </c>
      <c r="M30" s="110"/>
    </row>
    <row r="31" spans="1:20" x14ac:dyDescent="0.25">
      <c r="A31" s="217" t="str">
        <f>A3</f>
        <v>017002F</v>
      </c>
      <c r="B31" s="4">
        <v>1</v>
      </c>
      <c r="C31" s="6">
        <f>C$3</f>
        <v>0</v>
      </c>
      <c r="D31" s="6">
        <f>D$3</f>
        <v>0</v>
      </c>
      <c r="E31" s="9">
        <f>'Resultado Analisis suelos '!B$19</f>
        <v>0</v>
      </c>
      <c r="F31" s="104"/>
      <c r="G31" s="9">
        <f>'Parametros de referencia'!C$3*('Parametros de referencia'!$C$9*'Parametros de referencia'!C$4)*'Parametros de referencia'!$C$10*(E$31/'Parametros de referencia'!$C$17)</f>
        <v>0</v>
      </c>
      <c r="H31" s="9">
        <f>($D$31*'Parametros de referencia'!L$14)/1000</f>
        <v>0</v>
      </c>
      <c r="I31" s="9">
        <f>(H31-G31)</f>
        <v>0</v>
      </c>
      <c r="J31" s="9"/>
      <c r="K31" s="9">
        <f>IF(J$31="ZINCOFERTIL X 20KG",((I$31/'Parametros de referencia'!$AF$4)/'Parametros de referencia'!AI$4),IF(J$31="MICROFERTIL X 46KG",((I$31/'Parametros de referencia'!AF$5)/'Parametros de referencia'!AI$5),IF(J$31="BOROZINCO",((I$31/'Parametros de referencia'!AF$6)/'Parametros de referencia'!AI$6),IF(J$31="FERTICANA ESPECIFICACION",((I$31/'Parametros de referencia'!$AF$8)/'Parametros de referencia'!$AI$8),0))))</f>
        <v>0</v>
      </c>
      <c r="L31" s="9">
        <f>$K$31*0.7</f>
        <v>0</v>
      </c>
    </row>
    <row r="32" spans="1:20" x14ac:dyDescent="0.25">
      <c r="A32" s="218"/>
      <c r="B32" s="4">
        <v>2</v>
      </c>
      <c r="C32" s="6">
        <f>C$4</f>
        <v>0</v>
      </c>
      <c r="D32" s="6">
        <f>D$4</f>
        <v>0</v>
      </c>
      <c r="E32" s="9">
        <f>'Resultado Analisis suelos '!C$19</f>
        <v>0</v>
      </c>
      <c r="F32" s="104"/>
      <c r="G32" s="9">
        <f>'Parametros de referencia'!C$3*('Parametros de referencia'!$C$9*'Parametros de referencia'!C$4)*'Parametros de referencia'!$C$10*(E$32/'Parametros de referencia'!$C$17)</f>
        <v>0</v>
      </c>
      <c r="H32" s="9">
        <f>(D32*'Parametros de referencia'!L$14)/1000</f>
        <v>0</v>
      </c>
      <c r="I32" s="9">
        <f>(H32-G32)</f>
        <v>0</v>
      </c>
      <c r="J32" s="9"/>
      <c r="K32" s="9">
        <f>IF(J$32="ZINCOFERTIL X 20KG",((I$32/'Parametros de referencia'!$AF$4)/'Parametros de referencia'!AI$4),IF(J$32="MICROFERTIL X 46KG",((I$32/'Parametros de referencia'!AF$5)/'Parametros de referencia'!AI$5),IF(J$32="BOROZINCO",((I$32/'Parametros de referencia'!AF$6)/'Parametros de referencia'!AI$6),IF(J$32="FERTICANA ESPECIFICACION",((I$32/'Parametros de referencia'!$AF$8)/'Parametros de referencia'!$AI$8),0))))</f>
        <v>0</v>
      </c>
      <c r="L32" s="9">
        <f>$K$32*0.7</f>
        <v>0</v>
      </c>
    </row>
    <row r="33" spans="1:12" x14ac:dyDescent="0.25">
      <c r="A33" s="157"/>
      <c r="B33" s="1"/>
      <c r="C33" s="158"/>
      <c r="D33" s="158"/>
      <c r="E33" s="154"/>
      <c r="F33" s="104"/>
      <c r="G33" s="154"/>
      <c r="H33" s="154"/>
      <c r="I33" s="154"/>
      <c r="J33" s="154"/>
      <c r="K33" s="154"/>
      <c r="L33" s="154"/>
    </row>
    <row r="34" spans="1:12" x14ac:dyDescent="0.25">
      <c r="A34" s="157"/>
      <c r="B34" s="1"/>
      <c r="C34" s="158"/>
      <c r="D34" s="158"/>
      <c r="E34" s="154"/>
      <c r="F34" s="104"/>
      <c r="G34" s="154"/>
      <c r="H34" s="154"/>
      <c r="I34" s="154"/>
      <c r="J34" s="154"/>
      <c r="K34" s="154"/>
      <c r="L34" s="154"/>
    </row>
    <row r="36" spans="1:12" x14ac:dyDescent="0.25">
      <c r="A36" s="216" t="s">
        <v>301</v>
      </c>
      <c r="B36" s="216"/>
      <c r="C36" s="216"/>
      <c r="D36" s="216"/>
      <c r="E36" s="216"/>
      <c r="F36" s="216"/>
      <c r="G36" s="216"/>
      <c r="H36" s="216"/>
      <c r="I36" s="216"/>
      <c r="J36" s="216"/>
      <c r="K36" s="216"/>
      <c r="L36" s="216"/>
    </row>
    <row r="37" spans="1:12" x14ac:dyDescent="0.25">
      <c r="A37" s="3" t="s">
        <v>1</v>
      </c>
      <c r="B37" s="3" t="s">
        <v>0</v>
      </c>
      <c r="C37" s="3" t="s">
        <v>10</v>
      </c>
      <c r="D37" s="3" t="s">
        <v>291</v>
      </c>
      <c r="E37" s="8" t="s">
        <v>16</v>
      </c>
      <c r="G37" s="8" t="s">
        <v>275</v>
      </c>
      <c r="H37" s="8" t="s">
        <v>285</v>
      </c>
      <c r="I37" s="7" t="s">
        <v>290</v>
      </c>
      <c r="J37" s="3" t="s">
        <v>277</v>
      </c>
      <c r="K37" s="3" t="s">
        <v>292</v>
      </c>
      <c r="L37" s="3" t="s">
        <v>23</v>
      </c>
    </row>
    <row r="38" spans="1:12" x14ac:dyDescent="0.25">
      <c r="A38" s="217" t="str">
        <f>A3</f>
        <v>017002F</v>
      </c>
      <c r="B38" s="4">
        <v>1</v>
      </c>
      <c r="C38" s="6">
        <f>C$3</f>
        <v>0</v>
      </c>
      <c r="D38" s="6">
        <f>D$3</f>
        <v>0</v>
      </c>
      <c r="E38" s="9">
        <f>'Resultado Analisis suelos '!B$12</f>
        <v>0</v>
      </c>
      <c r="F38" s="104"/>
      <c r="G38" s="9">
        <f>'Parametros de referencia'!C$3*('Parametros de referencia'!$C$9*'Parametros de referencia'!C$4)*'Parametros de referencia'!$C$10*(E$38/'Parametros de referencia'!$C$17)</f>
        <v>0</v>
      </c>
      <c r="H38" s="9">
        <f>(D38*'Parametros de referencia'!$L$11)/1000</f>
        <v>0</v>
      </c>
      <c r="I38" s="9">
        <f>(H38-G38)</f>
        <v>0</v>
      </c>
      <c r="J38" s="9"/>
      <c r="K38" s="9">
        <f>IF(J$31="ZINCOFERTIL X 20KG",((I$31/'Parametros de referencia'!$AF$4)/'Parametros de referencia'!AI$4),IF(J$31="MICROFERTIL X 46KG",((I$31/'Parametros de referencia'!AF$5)/'Parametros de referencia'!AI$5),IF(J$31="BOROZINCO",((I$31/'Parametros de referencia'!AF$6)/'Parametros de referencia'!AI$6),IF(J$31="FERTICANA ESPECIFICACION",((I$31/'Parametros de referencia'!$AF$8)/'Parametros de referencia'!$AI$8),0))))</f>
        <v>0</v>
      </c>
      <c r="L38" s="9">
        <f>$K$31*0.7</f>
        <v>0</v>
      </c>
    </row>
    <row r="39" spans="1:12" x14ac:dyDescent="0.25">
      <c r="A39" s="218"/>
      <c r="B39" s="4">
        <v>2</v>
      </c>
      <c r="C39" s="6">
        <f>C$4</f>
        <v>0</v>
      </c>
      <c r="D39" s="6">
        <f>D$4</f>
        <v>0</v>
      </c>
      <c r="E39" s="9">
        <f>'Resultado Analisis suelos '!C$12</f>
        <v>0</v>
      </c>
      <c r="F39" s="104"/>
      <c r="G39" s="9">
        <f>'Parametros de referencia'!C$3*('Parametros de referencia'!$C$9*'Parametros de referencia'!C$4)*'Parametros de referencia'!$C$10*(E$39/'Parametros de referencia'!$C$17)</f>
        <v>0</v>
      </c>
      <c r="H39" s="9">
        <f>(D39*'Parametros de referencia'!$L$11)/1000</f>
        <v>0</v>
      </c>
      <c r="I39" s="9">
        <f>(H39-G39)/1000</f>
        <v>0</v>
      </c>
      <c r="J39" s="9"/>
      <c r="K39" s="9">
        <f>IF(J$32="ZINCOFERTIL X 20KG",((I$32/'Parametros de referencia'!$AF$4)/'Parametros de referencia'!AI$4),IF(J$32="MICROFERTIL X 46KG",((I$32/'Parametros de referencia'!AF$5)/'Parametros de referencia'!AI$5),IF(J$32="BOROZINCO",((I$32/'Parametros de referencia'!AF$6)/'Parametros de referencia'!AI$6),IF(J$32="FERTICANA ESPECIFICACION",((I$32/'Parametros de referencia'!$AF$8)/'Parametros de referencia'!$AI$8),0))))</f>
        <v>0</v>
      </c>
      <c r="L39" s="9">
        <f>$K$32*0.7</f>
        <v>0</v>
      </c>
    </row>
    <row r="40" spans="1:12" x14ac:dyDescent="0.25">
      <c r="A40" s="157"/>
      <c r="B40" s="1"/>
      <c r="C40" s="158"/>
      <c r="D40" s="158"/>
      <c r="E40" s="154"/>
      <c r="F40" s="104"/>
      <c r="G40" s="154"/>
      <c r="H40" s="154"/>
      <c r="I40" s="154"/>
      <c r="J40" s="154"/>
      <c r="K40" s="154"/>
      <c r="L40" s="154"/>
    </row>
  </sheetData>
  <mergeCells count="16">
    <mergeCell ref="R1:U1"/>
    <mergeCell ref="V2:W2"/>
    <mergeCell ref="A36:L36"/>
    <mergeCell ref="A38:A39"/>
    <mergeCell ref="A24:A25"/>
    <mergeCell ref="A31:A32"/>
    <mergeCell ref="A29:L29"/>
    <mergeCell ref="M1:O1"/>
    <mergeCell ref="A1:L1"/>
    <mergeCell ref="O15:Q15"/>
    <mergeCell ref="A22:L22"/>
    <mergeCell ref="A17:A19"/>
    <mergeCell ref="A8:L8"/>
    <mergeCell ref="A15:M15"/>
    <mergeCell ref="A3:A5"/>
    <mergeCell ref="A10:A1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0000000}">
          <x14:formula1>
            <xm:f>'Parametros de referencia'!$U$22:$U$24</xm:f>
          </x14:formula1>
          <xm:sqref>M3:M6 J3:J6</xm:sqref>
        </x14:dataValidation>
        <x14:dataValidation type="list" allowBlank="1" showInputMessage="1" showErrorMessage="1" xr:uid="{00000000-0002-0000-0200-000001000000}">
          <x14:formula1>
            <xm:f>'Parametros de referencia'!$U$27:$U$28</xm:f>
          </x14:formula1>
          <xm:sqref>J10:J12</xm:sqref>
        </x14:dataValidation>
        <x14:dataValidation type="list" allowBlank="1" showInputMessage="1" showErrorMessage="1" xr:uid="{00000000-0002-0000-0200-000002000000}">
          <x14:formula1>
            <xm:f>'Parametros de referencia'!$U$31</xm:f>
          </x14:formula1>
          <xm:sqref>J17:J20</xm:sqref>
        </x14:dataValidation>
        <x14:dataValidation type="list" allowBlank="1" showInputMessage="1" showErrorMessage="1" xr:uid="{00000000-0002-0000-0200-000003000000}">
          <x14:formula1>
            <xm:f>'Parametros de referencia'!$U$34:$U$37</xm:f>
          </x14:formula1>
          <xm:sqref>J24:J26 J38:J40 J31:J34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38"/>
  <sheetViews>
    <sheetView topLeftCell="U1" workbookViewId="0">
      <selection activeCell="Z21" sqref="Z21"/>
    </sheetView>
  </sheetViews>
  <sheetFormatPr baseColWidth="10" defaultRowHeight="15" x14ac:dyDescent="0.25"/>
  <cols>
    <col min="1" max="1" width="2.5703125" customWidth="1"/>
    <col min="2" max="2" width="31.28515625" bestFit="1" customWidth="1"/>
    <col min="5" max="5" width="3.28515625" customWidth="1"/>
    <col min="6" max="6" width="21.7109375" bestFit="1" customWidth="1"/>
    <col min="7" max="7" width="11.42578125" customWidth="1"/>
    <col min="13" max="13" width="4.28515625" customWidth="1"/>
    <col min="14" max="14" width="8.85546875" bestFit="1" customWidth="1"/>
    <col min="15" max="15" width="9.140625" customWidth="1"/>
    <col min="20" max="20" width="3.5703125" customWidth="1"/>
    <col min="21" max="21" width="33.7109375" bestFit="1" customWidth="1"/>
    <col min="22" max="28" width="8.7109375" bestFit="1" customWidth="1"/>
    <col min="29" max="31" width="7.7109375" bestFit="1" customWidth="1"/>
    <col min="32" max="32" width="8.7109375" bestFit="1" customWidth="1"/>
    <col min="33" max="33" width="7.7109375" bestFit="1" customWidth="1"/>
    <col min="34" max="34" width="8.7109375" bestFit="1" customWidth="1"/>
    <col min="35" max="35" width="10.7109375" customWidth="1"/>
    <col min="36" max="36" width="8.7109375" bestFit="1" customWidth="1"/>
    <col min="37" max="37" width="7.7109375" bestFit="1" customWidth="1"/>
    <col min="38" max="38" width="45.140625" bestFit="1" customWidth="1"/>
  </cols>
  <sheetData>
    <row r="1" spans="2:38" x14ac:dyDescent="0.25">
      <c r="B1" s="231" t="s">
        <v>65</v>
      </c>
      <c r="C1" s="232"/>
      <c r="D1" s="233"/>
      <c r="F1" s="231" t="s">
        <v>43</v>
      </c>
      <c r="G1" s="232"/>
      <c r="H1" s="232"/>
      <c r="I1" s="232"/>
      <c r="J1" s="232"/>
      <c r="K1" s="232"/>
      <c r="L1" s="233"/>
      <c r="N1" s="231" t="s">
        <v>122</v>
      </c>
      <c r="O1" s="232"/>
      <c r="P1" s="232"/>
      <c r="Q1" s="232"/>
      <c r="R1" s="232"/>
      <c r="S1" s="233"/>
      <c r="U1" s="236" t="s">
        <v>121</v>
      </c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1"/>
      <c r="AI1" s="240" t="s">
        <v>297</v>
      </c>
      <c r="AJ1" s="238" t="s">
        <v>156</v>
      </c>
      <c r="AK1" s="239"/>
      <c r="AL1" s="237" t="s">
        <v>157</v>
      </c>
    </row>
    <row r="2" spans="2:38" x14ac:dyDescent="0.25">
      <c r="B2" s="31" t="s">
        <v>12</v>
      </c>
      <c r="C2" s="31" t="s">
        <v>6</v>
      </c>
      <c r="D2" s="31" t="s">
        <v>5</v>
      </c>
      <c r="F2" s="231" t="s">
        <v>300</v>
      </c>
      <c r="G2" s="232"/>
      <c r="H2" s="232"/>
      <c r="I2" s="232"/>
      <c r="J2" s="232"/>
      <c r="K2" s="232"/>
      <c r="L2" s="233"/>
      <c r="N2" s="231" t="s">
        <v>150</v>
      </c>
      <c r="O2" s="233"/>
      <c r="P2" s="231" t="s">
        <v>153</v>
      </c>
      <c r="Q2" s="233"/>
      <c r="R2" s="231" t="s">
        <v>14</v>
      </c>
      <c r="S2" s="233"/>
      <c r="U2" s="35" t="s">
        <v>128</v>
      </c>
      <c r="V2" s="35" t="s">
        <v>123</v>
      </c>
      <c r="W2" s="35" t="s">
        <v>13</v>
      </c>
      <c r="X2" s="35" t="s">
        <v>14</v>
      </c>
      <c r="Y2" s="35" t="s">
        <v>124</v>
      </c>
      <c r="Z2" s="35" t="s">
        <v>125</v>
      </c>
      <c r="AA2" s="35" t="s">
        <v>126</v>
      </c>
      <c r="AB2" s="35" t="s">
        <v>127</v>
      </c>
      <c r="AC2" s="35" t="s">
        <v>142</v>
      </c>
      <c r="AD2" s="35" t="s">
        <v>143</v>
      </c>
      <c r="AE2" s="35" t="s">
        <v>144</v>
      </c>
      <c r="AF2" s="35" t="s">
        <v>145</v>
      </c>
      <c r="AG2" s="34" t="s">
        <v>146</v>
      </c>
      <c r="AH2" s="36" t="s">
        <v>147</v>
      </c>
      <c r="AI2" s="240"/>
      <c r="AJ2" s="109" t="s">
        <v>158</v>
      </c>
      <c r="AK2" s="37" t="s">
        <v>159</v>
      </c>
      <c r="AL2" s="237"/>
    </row>
    <row r="3" spans="2:38" x14ac:dyDescent="0.25">
      <c r="B3" s="4" t="s">
        <v>2</v>
      </c>
      <c r="C3" s="4">
        <v>1.2</v>
      </c>
      <c r="D3" s="4" t="s">
        <v>3</v>
      </c>
      <c r="F3" s="31" t="s">
        <v>49</v>
      </c>
      <c r="G3" s="31" t="s">
        <v>44</v>
      </c>
      <c r="H3" s="31" t="s">
        <v>45</v>
      </c>
      <c r="I3" s="31" t="s">
        <v>46</v>
      </c>
      <c r="J3" s="31" t="s">
        <v>47</v>
      </c>
      <c r="K3" s="31" t="s">
        <v>48</v>
      </c>
      <c r="L3" s="31" t="s">
        <v>61</v>
      </c>
      <c r="N3" s="231" t="s">
        <v>24</v>
      </c>
      <c r="O3" s="233"/>
      <c r="P3" s="231" t="s">
        <v>118</v>
      </c>
      <c r="Q3" s="233"/>
      <c r="R3" s="231" t="s">
        <v>119</v>
      </c>
      <c r="S3" s="233"/>
      <c r="U3" s="32" t="s">
        <v>134</v>
      </c>
      <c r="V3" s="33">
        <v>0.46</v>
      </c>
      <c r="W3" s="33" t="s">
        <v>141</v>
      </c>
      <c r="X3" s="33" t="s">
        <v>141</v>
      </c>
      <c r="Y3" s="33" t="s">
        <v>141</v>
      </c>
      <c r="Z3" s="33" t="s">
        <v>141</v>
      </c>
      <c r="AA3" s="33" t="s">
        <v>141</v>
      </c>
      <c r="AB3" s="33" t="s">
        <v>141</v>
      </c>
      <c r="AC3" s="33" t="s">
        <v>141</v>
      </c>
      <c r="AD3" s="33" t="s">
        <v>141</v>
      </c>
      <c r="AE3" s="33" t="s">
        <v>141</v>
      </c>
      <c r="AF3" s="33" t="s">
        <v>141</v>
      </c>
      <c r="AG3" s="33" t="s">
        <v>141</v>
      </c>
      <c r="AH3" s="33" t="s">
        <v>141</v>
      </c>
      <c r="AI3" s="33" t="e">
        <f>IF(AND(AVERAGE('Resultado Analisis suelos '!B7:C7)&gt;=6.5,AVERAGE('Resultado Analisis suelos '!B7:C7)&lt;=7.5),'Parametros de referencia'!AJ3,'Parametros de referencia'!AK3)</f>
        <v>#DIV/0!</v>
      </c>
      <c r="AJ3" s="33">
        <v>0.9</v>
      </c>
      <c r="AK3" s="33">
        <v>0.75</v>
      </c>
      <c r="AL3" s="33" t="s">
        <v>160</v>
      </c>
    </row>
    <row r="4" spans="2:38" x14ac:dyDescent="0.25">
      <c r="B4" s="4" t="s">
        <v>18</v>
      </c>
      <c r="C4" s="4">
        <v>0.2</v>
      </c>
      <c r="D4" s="4" t="s">
        <v>4</v>
      </c>
      <c r="F4" s="4" t="s">
        <v>50</v>
      </c>
      <c r="G4" s="4">
        <v>0.82</v>
      </c>
      <c r="H4" s="4">
        <v>0.76</v>
      </c>
      <c r="I4" s="4">
        <v>0.68</v>
      </c>
      <c r="J4" s="4">
        <v>1.03</v>
      </c>
      <c r="K4" s="4">
        <v>1.18</v>
      </c>
      <c r="L4" s="4">
        <f>AVERAGE(G4:K4)</f>
        <v>0.89399999999999991</v>
      </c>
      <c r="N4" s="31" t="s">
        <v>113</v>
      </c>
      <c r="O4" s="31" t="s">
        <v>114</v>
      </c>
      <c r="P4" s="31" t="s">
        <v>120</v>
      </c>
      <c r="Q4" s="31" t="s">
        <v>298</v>
      </c>
      <c r="R4" s="31" t="s">
        <v>116</v>
      </c>
      <c r="S4" s="31" t="s">
        <v>117</v>
      </c>
      <c r="U4" s="32" t="s">
        <v>129</v>
      </c>
      <c r="V4" s="33" t="s">
        <v>141</v>
      </c>
      <c r="W4" s="33" t="s">
        <v>141</v>
      </c>
      <c r="X4" s="33">
        <v>0.03</v>
      </c>
      <c r="Y4" s="33">
        <v>0.06</v>
      </c>
      <c r="Z4" s="33" t="s">
        <v>141</v>
      </c>
      <c r="AA4" s="33">
        <v>0.18</v>
      </c>
      <c r="AB4" s="33">
        <v>9.4E-2</v>
      </c>
      <c r="AC4" s="33" t="s">
        <v>141</v>
      </c>
      <c r="AD4" s="33">
        <v>0.03</v>
      </c>
      <c r="AE4" s="33" t="s">
        <v>141</v>
      </c>
      <c r="AF4" s="33">
        <v>0.15</v>
      </c>
      <c r="AG4" s="33">
        <v>6.0000000000000001E-3</v>
      </c>
      <c r="AH4" s="33" t="s">
        <v>141</v>
      </c>
      <c r="AI4" s="108">
        <v>1</v>
      </c>
      <c r="AJ4" s="108">
        <v>1</v>
      </c>
      <c r="AK4" s="108">
        <v>1</v>
      </c>
      <c r="AL4" s="33"/>
    </row>
    <row r="5" spans="2:38" x14ac:dyDescent="0.25">
      <c r="B5" s="4" t="s">
        <v>7</v>
      </c>
      <c r="C5" s="4">
        <v>0.05</v>
      </c>
      <c r="D5" s="4" t="s">
        <v>8</v>
      </c>
      <c r="F5" s="4" t="s">
        <v>51</v>
      </c>
      <c r="G5" s="4">
        <v>0.17</v>
      </c>
      <c r="H5" s="4">
        <v>0.11</v>
      </c>
      <c r="I5" s="4">
        <v>0.11</v>
      </c>
      <c r="J5" s="4">
        <v>0.22</v>
      </c>
      <c r="K5" s="4">
        <v>0.24</v>
      </c>
      <c r="L5" s="4">
        <f t="shared" ref="L5:L8" si="0">AVERAGE(G5:K5)</f>
        <v>0.16999999999999998</v>
      </c>
      <c r="N5" s="4">
        <v>0.8</v>
      </c>
      <c r="O5" s="4">
        <v>0.75</v>
      </c>
      <c r="P5" s="4">
        <v>0.5</v>
      </c>
      <c r="Q5" s="4">
        <v>0.3</v>
      </c>
      <c r="R5" s="4">
        <v>0.5</v>
      </c>
      <c r="S5" s="4">
        <v>0.75</v>
      </c>
      <c r="U5" s="32" t="s">
        <v>130</v>
      </c>
      <c r="V5" s="33" t="s">
        <v>141</v>
      </c>
      <c r="W5" s="33">
        <v>0.05</v>
      </c>
      <c r="X5" s="33" t="s">
        <v>141</v>
      </c>
      <c r="Y5" s="33">
        <v>5.8000000000000003E-2</v>
      </c>
      <c r="Z5" s="33">
        <v>0.18</v>
      </c>
      <c r="AA5" s="33">
        <v>0.25</v>
      </c>
      <c r="AB5" s="33">
        <v>0.05</v>
      </c>
      <c r="AC5" s="33">
        <v>0.03</v>
      </c>
      <c r="AD5" s="33">
        <v>0.01</v>
      </c>
      <c r="AE5" s="33">
        <v>0.01</v>
      </c>
      <c r="AF5" s="33">
        <v>0.03</v>
      </c>
      <c r="AG5" s="33">
        <v>2E-3</v>
      </c>
      <c r="AH5" s="33" t="s">
        <v>141</v>
      </c>
      <c r="AI5" s="108">
        <v>1</v>
      </c>
      <c r="AJ5" s="108">
        <v>1</v>
      </c>
      <c r="AK5" s="108">
        <v>1</v>
      </c>
      <c r="AL5" s="33"/>
    </row>
    <row r="6" spans="2:38" x14ac:dyDescent="0.25">
      <c r="B6" s="4" t="s">
        <v>9</v>
      </c>
      <c r="C6" s="4">
        <v>0.01</v>
      </c>
      <c r="D6" s="4" t="s">
        <v>8</v>
      </c>
      <c r="F6" s="4" t="s">
        <v>52</v>
      </c>
      <c r="G6" s="4">
        <v>1.01</v>
      </c>
      <c r="H6" s="4">
        <v>1.1299999999999999</v>
      </c>
      <c r="I6" s="4">
        <v>1.05</v>
      </c>
      <c r="J6" s="4">
        <v>1.43</v>
      </c>
      <c r="K6" s="4">
        <v>1.51</v>
      </c>
      <c r="L6" s="4">
        <f t="shared" si="0"/>
        <v>1.2259999999999998</v>
      </c>
      <c r="U6" s="32" t="s">
        <v>135</v>
      </c>
      <c r="V6" s="33">
        <v>0.03</v>
      </c>
      <c r="W6" s="33" t="s">
        <v>141</v>
      </c>
      <c r="X6" s="33" t="s">
        <v>141</v>
      </c>
      <c r="Y6" s="33">
        <v>0.06</v>
      </c>
      <c r="Z6" s="33" t="s">
        <v>141</v>
      </c>
      <c r="AA6" s="33">
        <v>0.17</v>
      </c>
      <c r="AB6" s="33" t="s">
        <v>141</v>
      </c>
      <c r="AC6" s="33" t="s">
        <v>141</v>
      </c>
      <c r="AD6" s="33">
        <v>2.5000000000000001E-2</v>
      </c>
      <c r="AE6" s="33" t="s">
        <v>141</v>
      </c>
      <c r="AF6" s="33">
        <v>0.15</v>
      </c>
      <c r="AG6" s="33">
        <v>5.0000000000000001E-3</v>
      </c>
      <c r="AH6" s="33" t="s">
        <v>141</v>
      </c>
      <c r="AI6" s="108">
        <v>1</v>
      </c>
      <c r="AJ6" s="108">
        <v>1</v>
      </c>
      <c r="AK6" s="108">
        <v>1</v>
      </c>
      <c r="AL6" s="33"/>
    </row>
    <row r="7" spans="2:38" x14ac:dyDescent="0.25">
      <c r="B7" s="103" t="s">
        <v>278</v>
      </c>
      <c r="C7" s="103">
        <v>0.5</v>
      </c>
      <c r="D7" s="103" t="s">
        <v>8</v>
      </c>
      <c r="F7" s="4" t="s">
        <v>53</v>
      </c>
      <c r="G7" s="4">
        <v>0.2</v>
      </c>
      <c r="H7" s="4">
        <v>0.15</v>
      </c>
      <c r="I7" s="4">
        <v>0.15</v>
      </c>
      <c r="J7" s="4">
        <v>0.27</v>
      </c>
      <c r="K7" s="4">
        <v>0.32</v>
      </c>
      <c r="L7" s="4">
        <f t="shared" si="0"/>
        <v>0.21800000000000003</v>
      </c>
      <c r="N7" s="231" t="s">
        <v>151</v>
      </c>
      <c r="O7" s="233"/>
      <c r="P7" s="234" t="s">
        <v>13</v>
      </c>
      <c r="Q7" s="235"/>
      <c r="R7" s="234" t="s">
        <v>14</v>
      </c>
      <c r="S7" s="235"/>
      <c r="U7" s="32" t="s">
        <v>136</v>
      </c>
      <c r="V7" s="33" t="s">
        <v>141</v>
      </c>
      <c r="W7" s="33" t="s">
        <v>141</v>
      </c>
      <c r="X7" s="33">
        <v>0.6</v>
      </c>
      <c r="Y7" s="33" t="s">
        <v>141</v>
      </c>
      <c r="Z7" s="33" t="s">
        <v>141</v>
      </c>
      <c r="AA7" s="33" t="s">
        <v>141</v>
      </c>
      <c r="AB7" s="33" t="s">
        <v>141</v>
      </c>
      <c r="AC7" s="33" t="s">
        <v>141</v>
      </c>
      <c r="AD7" s="33" t="s">
        <v>141</v>
      </c>
      <c r="AE7" s="33" t="s">
        <v>141</v>
      </c>
      <c r="AF7" s="33" t="s">
        <v>141</v>
      </c>
      <c r="AG7" s="33" t="s">
        <v>141</v>
      </c>
      <c r="AH7" s="33">
        <v>0.46</v>
      </c>
      <c r="AI7" s="33" t="e">
        <f>IF(AVERAGE('Resultado Analisis suelos '!B25:C25)&lt;70,'Parametros de referencia'!AJ$7,'Parametros de referencia'!AK$7)</f>
        <v>#DIV/0!</v>
      </c>
      <c r="AJ7" s="33">
        <v>0.75</v>
      </c>
      <c r="AK7" s="33">
        <v>0.5</v>
      </c>
      <c r="AL7" s="33" t="s">
        <v>273</v>
      </c>
    </row>
    <row r="8" spans="2:38" x14ac:dyDescent="0.25">
      <c r="B8" s="231" t="s">
        <v>66</v>
      </c>
      <c r="C8" s="232"/>
      <c r="D8" s="233"/>
      <c r="F8" s="4" t="s">
        <v>54</v>
      </c>
      <c r="G8" s="4">
        <v>0.41</v>
      </c>
      <c r="H8" s="4">
        <v>0.32</v>
      </c>
      <c r="I8" s="4">
        <v>0.34</v>
      </c>
      <c r="J8" s="4">
        <v>0.52</v>
      </c>
      <c r="K8" s="4">
        <v>0.64</v>
      </c>
      <c r="L8" s="4">
        <f t="shared" si="0"/>
        <v>0.44600000000000001</v>
      </c>
      <c r="N8" s="231" t="s">
        <v>24</v>
      </c>
      <c r="O8" s="233"/>
      <c r="P8" s="231" t="s">
        <v>118</v>
      </c>
      <c r="Q8" s="233"/>
      <c r="R8" s="231" t="s">
        <v>119</v>
      </c>
      <c r="S8" s="233"/>
      <c r="U8" s="32" t="s">
        <v>137</v>
      </c>
      <c r="V8" s="33" t="s">
        <v>141</v>
      </c>
      <c r="W8" s="33">
        <v>0.03</v>
      </c>
      <c r="X8" s="33">
        <v>0.2</v>
      </c>
      <c r="Y8" s="33">
        <v>0.02</v>
      </c>
      <c r="Z8" s="33">
        <v>0.02</v>
      </c>
      <c r="AA8" s="33" t="s">
        <v>141</v>
      </c>
      <c r="AB8" s="33" t="s">
        <v>141</v>
      </c>
      <c r="AC8" s="33">
        <v>5.0000000000000001E-3</v>
      </c>
      <c r="AD8" s="33">
        <v>5.0000000000000001E-3</v>
      </c>
      <c r="AE8" s="33">
        <v>0.01</v>
      </c>
      <c r="AF8" s="33">
        <v>5.0000000000000001E-3</v>
      </c>
      <c r="AG8" s="33" t="s">
        <v>141</v>
      </c>
      <c r="AH8" s="33" t="s">
        <v>141</v>
      </c>
      <c r="AI8" s="108">
        <v>1</v>
      </c>
      <c r="AJ8" s="108">
        <v>1</v>
      </c>
      <c r="AK8" s="108">
        <v>1</v>
      </c>
      <c r="AL8" s="33"/>
    </row>
    <row r="9" spans="2:38" x14ac:dyDescent="0.25">
      <c r="B9" s="4" t="s">
        <v>62</v>
      </c>
      <c r="C9" s="4">
        <v>10000</v>
      </c>
      <c r="D9" s="4" t="s">
        <v>63</v>
      </c>
      <c r="F9" s="236" t="s">
        <v>299</v>
      </c>
      <c r="G9" s="236"/>
      <c r="H9" s="236"/>
      <c r="I9" s="236"/>
      <c r="J9" s="236"/>
      <c r="K9" s="236"/>
      <c r="L9" s="236"/>
      <c r="N9" s="31" t="s">
        <v>113</v>
      </c>
      <c r="O9" s="31" t="s">
        <v>114</v>
      </c>
      <c r="P9" s="31" t="s">
        <v>120</v>
      </c>
      <c r="Q9" s="31" t="s">
        <v>115</v>
      </c>
      <c r="R9" s="31" t="s">
        <v>116</v>
      </c>
      <c r="S9" s="31" t="s">
        <v>117</v>
      </c>
      <c r="U9" s="32" t="s">
        <v>131</v>
      </c>
      <c r="V9" s="33" t="s">
        <v>141</v>
      </c>
      <c r="W9" s="33">
        <v>0.36</v>
      </c>
      <c r="X9" s="33" t="s">
        <v>141</v>
      </c>
      <c r="Y9" s="33"/>
      <c r="Z9" s="33">
        <v>0.25</v>
      </c>
      <c r="AA9" s="33" t="s">
        <v>141</v>
      </c>
      <c r="AB9" s="33" t="s">
        <v>141</v>
      </c>
      <c r="AC9" s="33" t="s">
        <v>141</v>
      </c>
      <c r="AD9" s="33" t="s">
        <v>141</v>
      </c>
      <c r="AE9" s="33" t="s">
        <v>141</v>
      </c>
      <c r="AF9" s="33" t="s">
        <v>141</v>
      </c>
      <c r="AG9" s="33" t="s">
        <v>141</v>
      </c>
      <c r="AH9" s="33" t="s">
        <v>141</v>
      </c>
      <c r="AI9" s="33" t="e">
        <f>IF(6.5&lt;AVERAGE('Resultado Analisis suelos '!B7:C7)&lt;7.5,'Parametros de referencia'!AJ9,'Parametros de referencia'!AK9)</f>
        <v>#DIV/0!</v>
      </c>
      <c r="AJ9" s="33">
        <v>0.5</v>
      </c>
      <c r="AK9" s="33">
        <v>0.3</v>
      </c>
      <c r="AL9" s="33"/>
    </row>
    <row r="10" spans="2:38" x14ac:dyDescent="0.25">
      <c r="B10" s="4" t="s">
        <v>67</v>
      </c>
      <c r="C10" s="4">
        <v>1000</v>
      </c>
      <c r="D10" s="4" t="s">
        <v>64</v>
      </c>
      <c r="F10" s="4" t="s">
        <v>55</v>
      </c>
      <c r="G10" s="4">
        <v>0.08</v>
      </c>
      <c r="H10" s="4">
        <v>0.06</v>
      </c>
      <c r="I10" s="4">
        <v>0.05</v>
      </c>
      <c r="J10" s="4">
        <v>0.09</v>
      </c>
      <c r="K10" s="4">
        <v>0.06</v>
      </c>
      <c r="L10" s="4">
        <f>AVERAGE(G10:K10)</f>
        <v>6.8000000000000005E-2</v>
      </c>
      <c r="N10" s="4">
        <v>0.8</v>
      </c>
      <c r="O10" s="4"/>
      <c r="P10" s="4"/>
      <c r="Q10" s="4"/>
      <c r="R10" s="4"/>
      <c r="S10" s="4"/>
      <c r="U10" s="32" t="s">
        <v>138</v>
      </c>
      <c r="V10" s="33">
        <v>0.21</v>
      </c>
      <c r="W10" s="33" t="s">
        <v>141</v>
      </c>
      <c r="X10" s="33" t="s">
        <v>141</v>
      </c>
      <c r="Y10" s="33">
        <v>0.24</v>
      </c>
      <c r="Z10" s="33" t="s">
        <v>141</v>
      </c>
      <c r="AA10" s="33" t="s">
        <v>141</v>
      </c>
      <c r="AB10" s="33" t="s">
        <v>141</v>
      </c>
      <c r="AC10" s="33" t="s">
        <v>141</v>
      </c>
      <c r="AD10" s="33" t="s">
        <v>141</v>
      </c>
      <c r="AE10" s="33" t="s">
        <v>141</v>
      </c>
      <c r="AF10" s="33" t="s">
        <v>141</v>
      </c>
      <c r="AG10" s="33" t="s">
        <v>141</v>
      </c>
      <c r="AH10" s="33" t="s">
        <v>141</v>
      </c>
      <c r="AI10" s="108">
        <v>1</v>
      </c>
      <c r="AJ10" s="108">
        <v>1</v>
      </c>
      <c r="AK10" s="108">
        <v>1</v>
      </c>
      <c r="AL10" s="33"/>
    </row>
    <row r="11" spans="2:38" x14ac:dyDescent="0.25">
      <c r="B11" s="4" t="s">
        <v>69</v>
      </c>
      <c r="C11" s="4">
        <v>391</v>
      </c>
      <c r="D11" s="4" t="s">
        <v>68</v>
      </c>
      <c r="F11" s="4" t="s">
        <v>56</v>
      </c>
      <c r="G11" s="4">
        <v>40.380000000000003</v>
      </c>
      <c r="H11" s="4">
        <v>36.619999999999997</v>
      </c>
      <c r="I11" s="4">
        <v>37.83</v>
      </c>
      <c r="J11" s="4">
        <v>66.099999999999994</v>
      </c>
      <c r="K11" s="4">
        <v>77.37</v>
      </c>
      <c r="L11" s="4">
        <f>AVERAGE(G11:K11)</f>
        <v>51.660000000000004</v>
      </c>
      <c r="U11" s="32" t="s">
        <v>132</v>
      </c>
      <c r="V11" s="33" t="s">
        <v>141</v>
      </c>
      <c r="W11" s="33" t="s">
        <v>141</v>
      </c>
      <c r="X11" s="33" t="s">
        <v>141</v>
      </c>
      <c r="Y11" s="33" t="s">
        <v>141</v>
      </c>
      <c r="Z11" s="33">
        <v>0.26</v>
      </c>
      <c r="AA11" s="33">
        <v>1.2E-2</v>
      </c>
      <c r="AB11" s="33" t="s">
        <v>141</v>
      </c>
      <c r="AC11" s="33">
        <v>1.4E-2</v>
      </c>
      <c r="AD11" s="33" t="s">
        <v>141</v>
      </c>
      <c r="AE11" s="33">
        <v>1E-3</v>
      </c>
      <c r="AF11" s="33" t="s">
        <v>141</v>
      </c>
      <c r="AG11" s="33" t="s">
        <v>141</v>
      </c>
      <c r="AH11" s="33" t="s">
        <v>141</v>
      </c>
      <c r="AI11" s="108">
        <v>1</v>
      </c>
      <c r="AJ11" s="108">
        <v>1</v>
      </c>
      <c r="AK11" s="108">
        <v>1</v>
      </c>
      <c r="AL11" s="33"/>
    </row>
    <row r="12" spans="2:38" x14ac:dyDescent="0.25">
      <c r="B12" s="4" t="s">
        <v>70</v>
      </c>
      <c r="C12" s="4">
        <v>200.4</v>
      </c>
      <c r="D12" s="4" t="s">
        <v>68</v>
      </c>
      <c r="F12" s="4" t="s">
        <v>57</v>
      </c>
      <c r="G12" s="4">
        <v>16.440000000000001</v>
      </c>
      <c r="H12" s="4">
        <v>3.38</v>
      </c>
      <c r="I12" s="4">
        <v>3.75</v>
      </c>
      <c r="J12" s="4">
        <v>19.03</v>
      </c>
      <c r="K12" s="4">
        <v>7.4</v>
      </c>
      <c r="L12" s="4">
        <f t="shared" ref="L12:L15" si="1">AVERAGE(G12:K12)</f>
        <v>10</v>
      </c>
      <c r="N12" s="231" t="s">
        <v>139</v>
      </c>
      <c r="O12" s="233"/>
      <c r="P12" s="234" t="s">
        <v>13</v>
      </c>
      <c r="Q12" s="235"/>
      <c r="R12" s="234" t="s">
        <v>14</v>
      </c>
      <c r="S12" s="235"/>
      <c r="U12" s="32" t="s">
        <v>133</v>
      </c>
      <c r="V12" s="33">
        <v>4.6600000000000003E-2</v>
      </c>
      <c r="W12" s="33">
        <v>3.0499999999999999E-2</v>
      </c>
      <c r="X12" s="33">
        <v>3.0200000000000001E-2</v>
      </c>
      <c r="Y12" s="33">
        <v>0.03</v>
      </c>
      <c r="Z12" s="33">
        <v>0.1303</v>
      </c>
      <c r="AA12" s="33">
        <v>0.16739999999999999</v>
      </c>
      <c r="AB12" s="33">
        <v>0.20130000000000001</v>
      </c>
      <c r="AC12" s="33" t="s">
        <v>141</v>
      </c>
      <c r="AD12" s="33" t="s">
        <v>141</v>
      </c>
      <c r="AE12" s="33" t="s">
        <v>141</v>
      </c>
      <c r="AF12" s="33" t="s">
        <v>141</v>
      </c>
      <c r="AG12" s="33" t="s">
        <v>141</v>
      </c>
      <c r="AH12" s="33" t="s">
        <v>141</v>
      </c>
      <c r="AI12" s="108">
        <v>1</v>
      </c>
      <c r="AJ12" s="108">
        <v>1</v>
      </c>
      <c r="AK12" s="108">
        <v>1</v>
      </c>
      <c r="AL12" s="33"/>
    </row>
    <row r="13" spans="2:38" x14ac:dyDescent="0.25">
      <c r="B13" s="4" t="s">
        <v>71</v>
      </c>
      <c r="C13" s="4">
        <v>121.5</v>
      </c>
      <c r="D13" s="4" t="s">
        <v>68</v>
      </c>
      <c r="F13" s="4" t="s">
        <v>58</v>
      </c>
      <c r="G13" s="4">
        <v>0.65</v>
      </c>
      <c r="H13" s="4">
        <v>0.46</v>
      </c>
      <c r="I13" s="4">
        <v>0.51</v>
      </c>
      <c r="J13" s="4">
        <v>0.78</v>
      </c>
      <c r="K13" s="4">
        <v>0.93</v>
      </c>
      <c r="L13" s="4">
        <f t="shared" si="1"/>
        <v>0.66600000000000015</v>
      </c>
      <c r="N13" s="231" t="s">
        <v>24</v>
      </c>
      <c r="O13" s="233"/>
      <c r="P13" s="231" t="s">
        <v>118</v>
      </c>
      <c r="Q13" s="233"/>
      <c r="R13" s="231" t="s">
        <v>119</v>
      </c>
      <c r="S13" s="233"/>
      <c r="U13" s="32" t="s">
        <v>139</v>
      </c>
      <c r="V13" s="33">
        <v>0.4</v>
      </c>
      <c r="W13" s="33" t="s">
        <v>141</v>
      </c>
      <c r="X13" s="33" t="s">
        <v>141</v>
      </c>
      <c r="Y13" s="33">
        <v>0.06</v>
      </c>
      <c r="Z13" s="33" t="s">
        <v>141</v>
      </c>
      <c r="AA13" s="33" t="s">
        <v>141</v>
      </c>
      <c r="AB13" s="33" t="s">
        <v>141</v>
      </c>
      <c r="AC13" s="33" t="s">
        <v>141</v>
      </c>
      <c r="AD13" s="33" t="s">
        <v>141</v>
      </c>
      <c r="AE13" s="33" t="s">
        <v>141</v>
      </c>
      <c r="AF13" s="33" t="s">
        <v>141</v>
      </c>
      <c r="AG13" s="33" t="s">
        <v>141</v>
      </c>
      <c r="AH13" s="33" t="s">
        <v>141</v>
      </c>
      <c r="AI13" s="111" t="e">
        <f>IF(6.5&lt;AVERAGE('Resultado Analisis suelos '!B7:C7)&lt;7.5,'Parametros de referencia'!AJ3,'Parametros de referencia'!AK3)</f>
        <v>#DIV/0!</v>
      </c>
      <c r="AJ13" s="33">
        <v>0.9</v>
      </c>
      <c r="AK13" s="33">
        <v>0.75</v>
      </c>
      <c r="AL13" s="33"/>
    </row>
    <row r="14" spans="2:38" x14ac:dyDescent="0.25">
      <c r="B14" s="4" t="s">
        <v>72</v>
      </c>
      <c r="C14" s="4">
        <v>229</v>
      </c>
      <c r="D14" s="4" t="s">
        <v>68</v>
      </c>
      <c r="F14" s="4" t="s">
        <v>59</v>
      </c>
      <c r="G14" s="4">
        <v>0.73</v>
      </c>
      <c r="H14" s="4">
        <v>0.92</v>
      </c>
      <c r="I14" s="4">
        <v>0.91</v>
      </c>
      <c r="J14" s="4">
        <v>1.25</v>
      </c>
      <c r="K14" s="4">
        <v>1.27</v>
      </c>
      <c r="L14" s="4">
        <f t="shared" si="1"/>
        <v>1.016</v>
      </c>
      <c r="N14" s="31" t="s">
        <v>113</v>
      </c>
      <c r="O14" s="31" t="s">
        <v>114</v>
      </c>
      <c r="P14" s="31" t="s">
        <v>120</v>
      </c>
      <c r="Q14" s="31" t="s">
        <v>115</v>
      </c>
      <c r="R14" s="31" t="s">
        <v>116</v>
      </c>
      <c r="S14" s="31" t="s">
        <v>117</v>
      </c>
      <c r="U14" s="32" t="s">
        <v>140</v>
      </c>
      <c r="V14" s="33">
        <v>0.18</v>
      </c>
      <c r="W14" s="33">
        <v>0.46</v>
      </c>
      <c r="X14" s="33" t="s">
        <v>141</v>
      </c>
      <c r="Y14" s="33" t="s">
        <v>141</v>
      </c>
      <c r="Z14" s="33" t="s">
        <v>141</v>
      </c>
      <c r="AA14" s="33" t="s">
        <v>141</v>
      </c>
      <c r="AB14" s="33" t="s">
        <v>141</v>
      </c>
      <c r="AC14" s="33" t="s">
        <v>141</v>
      </c>
      <c r="AD14" s="33" t="s">
        <v>141</v>
      </c>
      <c r="AE14" s="33" t="s">
        <v>141</v>
      </c>
      <c r="AF14" s="33" t="s">
        <v>141</v>
      </c>
      <c r="AG14" s="33" t="s">
        <v>141</v>
      </c>
      <c r="AH14" s="33" t="s">
        <v>141</v>
      </c>
      <c r="AI14" s="33" t="e">
        <f>IF(6.5&lt;AVERAGE('Resultado Analisis suelos '!B7:C7)&lt;7.5,'Parametros de referencia'!AJ14,'Parametros de referencia'!AK14)</f>
        <v>#DIV/0!</v>
      </c>
      <c r="AJ14" s="33">
        <v>0.5</v>
      </c>
      <c r="AK14" s="33">
        <v>0.3</v>
      </c>
      <c r="AL14" s="33" t="s">
        <v>272</v>
      </c>
    </row>
    <row r="15" spans="2:38" x14ac:dyDescent="0.25">
      <c r="B15" s="4" t="s">
        <v>73</v>
      </c>
      <c r="C15" s="4">
        <v>89.9</v>
      </c>
      <c r="D15" s="4" t="s">
        <v>68</v>
      </c>
      <c r="F15" s="4" t="s">
        <v>60</v>
      </c>
      <c r="G15" s="4">
        <v>0.47</v>
      </c>
      <c r="H15" s="4">
        <v>0.48</v>
      </c>
      <c r="I15" s="4">
        <v>0.43</v>
      </c>
      <c r="J15" s="4">
        <v>0.61</v>
      </c>
      <c r="K15" s="4">
        <v>0.67</v>
      </c>
      <c r="L15" s="4">
        <f t="shared" si="1"/>
        <v>0.53199999999999992</v>
      </c>
      <c r="N15" s="4">
        <v>0.9</v>
      </c>
      <c r="O15" s="4">
        <v>0.75</v>
      </c>
      <c r="P15" s="4">
        <v>0.5</v>
      </c>
      <c r="Q15" s="4">
        <v>0.3</v>
      </c>
      <c r="R15" s="4">
        <v>0.5</v>
      </c>
      <c r="S15" s="4">
        <v>0.75</v>
      </c>
      <c r="U15" s="32" t="s">
        <v>152</v>
      </c>
      <c r="V15" s="33" t="s">
        <v>141</v>
      </c>
      <c r="W15" s="33">
        <v>0.46</v>
      </c>
      <c r="X15" s="33" t="s">
        <v>141</v>
      </c>
      <c r="Y15" s="33" t="s">
        <v>141</v>
      </c>
      <c r="Z15" s="33" t="s">
        <v>141</v>
      </c>
      <c r="AA15" s="33" t="s">
        <v>141</v>
      </c>
      <c r="AB15" s="33" t="s">
        <v>141</v>
      </c>
      <c r="AC15" s="33" t="s">
        <v>141</v>
      </c>
      <c r="AD15" s="33" t="s">
        <v>141</v>
      </c>
      <c r="AE15" s="33" t="s">
        <v>141</v>
      </c>
      <c r="AF15" s="33" t="s">
        <v>141</v>
      </c>
      <c r="AG15" s="33" t="s">
        <v>141</v>
      </c>
      <c r="AH15" s="33" t="s">
        <v>141</v>
      </c>
      <c r="AI15" s="111" t="e">
        <f>IF(6.5&lt;AVERAGE('Resultado Analisis suelos '!B7:C7)&lt;7.5,'Parametros de referencia'!AJ14,'Parametros de referencia'!AK14)</f>
        <v>#DIV/0!</v>
      </c>
      <c r="AJ15" s="33">
        <v>0.5</v>
      </c>
      <c r="AK15" s="33">
        <v>0.3</v>
      </c>
      <c r="AL15" s="33"/>
    </row>
    <row r="16" spans="2:38" x14ac:dyDescent="0.25">
      <c r="B16" s="4" t="s">
        <v>74</v>
      </c>
      <c r="C16" s="4">
        <v>327</v>
      </c>
      <c r="D16" s="4" t="s">
        <v>68</v>
      </c>
    </row>
    <row r="17" spans="2:21" x14ac:dyDescent="0.25">
      <c r="B17" s="4" t="s">
        <v>75</v>
      </c>
      <c r="C17" s="4">
        <v>1000000</v>
      </c>
      <c r="D17" s="4" t="s">
        <v>76</v>
      </c>
    </row>
    <row r="21" spans="2:21" x14ac:dyDescent="0.25">
      <c r="U21" s="31" t="s">
        <v>293</v>
      </c>
    </row>
    <row r="22" spans="2:21" x14ac:dyDescent="0.25">
      <c r="U22" s="4" t="s">
        <v>134</v>
      </c>
    </row>
    <row r="23" spans="2:21" x14ac:dyDescent="0.25">
      <c r="U23" s="4" t="s">
        <v>138</v>
      </c>
    </row>
    <row r="24" spans="2:21" x14ac:dyDescent="0.25">
      <c r="U24" s="4" t="s">
        <v>139</v>
      </c>
    </row>
    <row r="25" spans="2:21" x14ac:dyDescent="0.25">
      <c r="U25" s="105"/>
    </row>
    <row r="26" spans="2:21" x14ac:dyDescent="0.25">
      <c r="U26" s="31" t="s">
        <v>294</v>
      </c>
    </row>
    <row r="27" spans="2:21" x14ac:dyDescent="0.25">
      <c r="U27" s="4" t="s">
        <v>140</v>
      </c>
    </row>
    <row r="28" spans="2:21" x14ac:dyDescent="0.25">
      <c r="U28" s="4" t="s">
        <v>131</v>
      </c>
    </row>
    <row r="29" spans="2:21" x14ac:dyDescent="0.25">
      <c r="U29" s="105"/>
    </row>
    <row r="30" spans="2:21" x14ac:dyDescent="0.25">
      <c r="U30" s="31" t="s">
        <v>295</v>
      </c>
    </row>
    <row r="31" spans="2:21" x14ac:dyDescent="0.25">
      <c r="U31" s="4" t="s">
        <v>136</v>
      </c>
    </row>
    <row r="32" spans="2:21" x14ac:dyDescent="0.25">
      <c r="U32" s="105"/>
    </row>
    <row r="33" spans="21:21" x14ac:dyDescent="0.25">
      <c r="U33" s="31" t="s">
        <v>296</v>
      </c>
    </row>
    <row r="34" spans="21:21" x14ac:dyDescent="0.25">
      <c r="U34" s="32" t="s">
        <v>129</v>
      </c>
    </row>
    <row r="35" spans="21:21" x14ac:dyDescent="0.25">
      <c r="U35" s="32" t="s">
        <v>130</v>
      </c>
    </row>
    <row r="36" spans="21:21" x14ac:dyDescent="0.25">
      <c r="U36" s="32" t="s">
        <v>135</v>
      </c>
    </row>
    <row r="37" spans="21:21" x14ac:dyDescent="0.25">
      <c r="U37" s="106" t="s">
        <v>137</v>
      </c>
    </row>
    <row r="38" spans="21:21" x14ac:dyDescent="0.25">
      <c r="U38" s="107"/>
    </row>
  </sheetData>
  <mergeCells count="28">
    <mergeCell ref="F9:L9"/>
    <mergeCell ref="N1:S1"/>
    <mergeCell ref="AL1:AL2"/>
    <mergeCell ref="N13:O13"/>
    <mergeCell ref="P13:Q13"/>
    <mergeCell ref="R13:S13"/>
    <mergeCell ref="N8:O8"/>
    <mergeCell ref="P8:Q8"/>
    <mergeCell ref="R8:S8"/>
    <mergeCell ref="N12:O12"/>
    <mergeCell ref="P12:Q12"/>
    <mergeCell ref="R12:S12"/>
    <mergeCell ref="AJ1:AK1"/>
    <mergeCell ref="AI1:AI2"/>
    <mergeCell ref="U1:AH1"/>
    <mergeCell ref="B1:D1"/>
    <mergeCell ref="B8:D8"/>
    <mergeCell ref="N2:O2"/>
    <mergeCell ref="R3:S3"/>
    <mergeCell ref="P3:Q3"/>
    <mergeCell ref="N3:O3"/>
    <mergeCell ref="R2:S2"/>
    <mergeCell ref="P2:Q2"/>
    <mergeCell ref="N7:O7"/>
    <mergeCell ref="P7:Q7"/>
    <mergeCell ref="R7:S7"/>
    <mergeCell ref="F1:L1"/>
    <mergeCell ref="F2:L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 STE</vt:lpstr>
      <vt:lpstr>Resultado Analisis suelos </vt:lpstr>
      <vt:lpstr>Determinacion de Dosis</vt:lpstr>
      <vt:lpstr>Parametros de referencia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Rubiano Salamanca</dc:creator>
  <cp:lastModifiedBy>Estudiante Agricultura de Precision 2</cp:lastModifiedBy>
  <dcterms:created xsi:type="dcterms:W3CDTF">2023-05-04T15:17:29Z</dcterms:created>
  <dcterms:modified xsi:type="dcterms:W3CDTF">2024-09-03T21:11:14Z</dcterms:modified>
</cp:coreProperties>
</file>